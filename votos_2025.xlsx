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duca-my.sharepoint.com/personal/sebastian_araneda_mineduc_cl/Documents/Documentos/DB_prueba1/"/>
    </mc:Choice>
  </mc:AlternateContent>
  <xr:revisionPtr revIDLastSave="17" documentId="8_{85851B5C-2E50-42C2-9DF4-97D71B417237}" xr6:coauthVersionLast="47" xr6:coauthVersionMax="47" xr10:uidLastSave="{0A534906-58C7-4081-A4DF-68D18B2C7E26}"/>
  <bookViews>
    <workbookView xWindow="-120" yWindow="-120" windowWidth="20730" windowHeight="11160" xr2:uid="{D6D1A9A1-1D1F-454F-8A93-75847179F9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7" i="1" l="1"/>
  <c r="U347" i="1"/>
  <c r="S347" i="1"/>
  <c r="Q347" i="1"/>
  <c r="O347" i="1"/>
  <c r="M347" i="1"/>
  <c r="K347" i="1"/>
  <c r="I347" i="1"/>
  <c r="G347" i="1"/>
  <c r="E347" i="1"/>
  <c r="S346" i="1"/>
  <c r="U346" i="1" s="1"/>
  <c r="V346" i="1" s="1"/>
  <c r="Q346" i="1"/>
  <c r="O346" i="1"/>
  <c r="M346" i="1"/>
  <c r="K346" i="1"/>
  <c r="I346" i="1"/>
  <c r="G346" i="1"/>
  <c r="E346" i="1"/>
  <c r="S345" i="1"/>
  <c r="Q345" i="1"/>
  <c r="O345" i="1"/>
  <c r="M345" i="1"/>
  <c r="K345" i="1"/>
  <c r="I345" i="1"/>
  <c r="G345" i="1"/>
  <c r="E345" i="1"/>
  <c r="S344" i="1"/>
  <c r="Q344" i="1"/>
  <c r="U344" i="1" s="1"/>
  <c r="V344" i="1" s="1"/>
  <c r="O344" i="1"/>
  <c r="M344" i="1"/>
  <c r="K344" i="1"/>
  <c r="I344" i="1"/>
  <c r="G344" i="1"/>
  <c r="E344" i="1"/>
  <c r="S343" i="1"/>
  <c r="Q343" i="1"/>
  <c r="O343" i="1"/>
  <c r="M343" i="1"/>
  <c r="K343" i="1"/>
  <c r="I343" i="1"/>
  <c r="G343" i="1"/>
  <c r="E343" i="1"/>
  <c r="S342" i="1"/>
  <c r="Q342" i="1"/>
  <c r="O342" i="1"/>
  <c r="M342" i="1"/>
  <c r="K342" i="1"/>
  <c r="I342" i="1"/>
  <c r="G342" i="1"/>
  <c r="E342" i="1"/>
  <c r="S341" i="1"/>
  <c r="Q341" i="1"/>
  <c r="U341" i="1" s="1"/>
  <c r="V341" i="1" s="1"/>
  <c r="O341" i="1"/>
  <c r="M341" i="1"/>
  <c r="K341" i="1"/>
  <c r="I341" i="1"/>
  <c r="G341" i="1"/>
  <c r="E341" i="1"/>
  <c r="S340" i="1"/>
  <c r="Q340" i="1"/>
  <c r="O340" i="1"/>
  <c r="M340" i="1"/>
  <c r="K340" i="1"/>
  <c r="I340" i="1"/>
  <c r="G340" i="1"/>
  <c r="E340" i="1"/>
  <c r="S339" i="1"/>
  <c r="Q339" i="1"/>
  <c r="O339" i="1"/>
  <c r="M339" i="1"/>
  <c r="K339" i="1"/>
  <c r="I339" i="1"/>
  <c r="G339" i="1"/>
  <c r="E339" i="1"/>
  <c r="S338" i="1"/>
  <c r="U338" i="1" s="1"/>
  <c r="V338" i="1" s="1"/>
  <c r="Q338" i="1"/>
  <c r="O338" i="1"/>
  <c r="M338" i="1"/>
  <c r="K338" i="1"/>
  <c r="I338" i="1"/>
  <c r="G338" i="1"/>
  <c r="E338" i="1"/>
  <c r="S337" i="1"/>
  <c r="Q337" i="1"/>
  <c r="O337" i="1"/>
  <c r="M337" i="1"/>
  <c r="K337" i="1"/>
  <c r="I337" i="1"/>
  <c r="G337" i="1"/>
  <c r="E337" i="1"/>
  <c r="S336" i="1"/>
  <c r="Q336" i="1"/>
  <c r="O336" i="1"/>
  <c r="M336" i="1"/>
  <c r="K336" i="1"/>
  <c r="I336" i="1"/>
  <c r="G336" i="1"/>
  <c r="E336" i="1"/>
  <c r="S335" i="1"/>
  <c r="Q335" i="1"/>
  <c r="U335" i="1" s="1"/>
  <c r="V335" i="1" s="1"/>
  <c r="O335" i="1"/>
  <c r="M335" i="1"/>
  <c r="K335" i="1"/>
  <c r="I335" i="1"/>
  <c r="G335" i="1"/>
  <c r="E335" i="1"/>
  <c r="S334" i="1"/>
  <c r="Q334" i="1"/>
  <c r="O334" i="1"/>
  <c r="M334" i="1"/>
  <c r="K334" i="1"/>
  <c r="I334" i="1"/>
  <c r="G334" i="1"/>
  <c r="E334" i="1"/>
  <c r="S333" i="1"/>
  <c r="Q333" i="1"/>
  <c r="O333" i="1"/>
  <c r="M333" i="1"/>
  <c r="K333" i="1"/>
  <c r="I333" i="1"/>
  <c r="G333" i="1"/>
  <c r="E333" i="1"/>
  <c r="S332" i="1"/>
  <c r="Q332" i="1"/>
  <c r="U332" i="1" s="1"/>
  <c r="V332" i="1" s="1"/>
  <c r="O332" i="1"/>
  <c r="M332" i="1"/>
  <c r="K332" i="1"/>
  <c r="I332" i="1"/>
  <c r="G332" i="1"/>
  <c r="E332" i="1"/>
  <c r="S331" i="1"/>
  <c r="Q331" i="1"/>
  <c r="O331" i="1"/>
  <c r="M331" i="1"/>
  <c r="K331" i="1"/>
  <c r="I331" i="1"/>
  <c r="G331" i="1"/>
  <c r="E331" i="1"/>
  <c r="S330" i="1"/>
  <c r="Q330" i="1"/>
  <c r="O330" i="1"/>
  <c r="M330" i="1"/>
  <c r="K330" i="1"/>
  <c r="I330" i="1"/>
  <c r="G330" i="1"/>
  <c r="E330" i="1"/>
  <c r="S329" i="1"/>
  <c r="Q329" i="1"/>
  <c r="U329" i="1" s="1"/>
  <c r="V329" i="1" s="1"/>
  <c r="O329" i="1"/>
  <c r="M329" i="1"/>
  <c r="K329" i="1"/>
  <c r="I329" i="1"/>
  <c r="G329" i="1"/>
  <c r="E329" i="1"/>
  <c r="S328" i="1"/>
  <c r="Q328" i="1"/>
  <c r="O328" i="1"/>
  <c r="M328" i="1"/>
  <c r="K328" i="1"/>
  <c r="I328" i="1"/>
  <c r="G328" i="1"/>
  <c r="E328" i="1"/>
  <c r="S327" i="1"/>
  <c r="Q327" i="1"/>
  <c r="O327" i="1"/>
  <c r="M327" i="1"/>
  <c r="K327" i="1"/>
  <c r="I327" i="1"/>
  <c r="G327" i="1"/>
  <c r="E327" i="1"/>
  <c r="S326" i="1"/>
  <c r="U326" i="1" s="1"/>
  <c r="V326" i="1" s="1"/>
  <c r="Q326" i="1"/>
  <c r="O326" i="1"/>
  <c r="M326" i="1"/>
  <c r="K326" i="1"/>
  <c r="I326" i="1"/>
  <c r="G326" i="1"/>
  <c r="E326" i="1"/>
  <c r="S325" i="1"/>
  <c r="Q325" i="1"/>
  <c r="O325" i="1"/>
  <c r="M325" i="1"/>
  <c r="K325" i="1"/>
  <c r="I325" i="1"/>
  <c r="G325" i="1"/>
  <c r="E325" i="1"/>
  <c r="S324" i="1"/>
  <c r="Q324" i="1"/>
  <c r="O324" i="1"/>
  <c r="M324" i="1"/>
  <c r="K324" i="1"/>
  <c r="I324" i="1"/>
  <c r="G324" i="1"/>
  <c r="E324" i="1"/>
  <c r="S323" i="1"/>
  <c r="Q323" i="1"/>
  <c r="U323" i="1" s="1"/>
  <c r="V323" i="1" s="1"/>
  <c r="O323" i="1"/>
  <c r="M323" i="1"/>
  <c r="K323" i="1"/>
  <c r="I323" i="1"/>
  <c r="G323" i="1"/>
  <c r="E323" i="1"/>
  <c r="S322" i="1"/>
  <c r="Q322" i="1"/>
  <c r="O322" i="1"/>
  <c r="M322" i="1"/>
  <c r="K322" i="1"/>
  <c r="I322" i="1"/>
  <c r="G322" i="1"/>
  <c r="E322" i="1"/>
  <c r="S321" i="1"/>
  <c r="Q321" i="1"/>
  <c r="O321" i="1"/>
  <c r="M321" i="1"/>
  <c r="K321" i="1"/>
  <c r="I321" i="1"/>
  <c r="G321" i="1"/>
  <c r="E321" i="1"/>
  <c r="S320" i="1"/>
  <c r="Q320" i="1"/>
  <c r="U320" i="1" s="1"/>
  <c r="V320" i="1" s="1"/>
  <c r="O320" i="1"/>
  <c r="M320" i="1"/>
  <c r="K320" i="1"/>
  <c r="I320" i="1"/>
  <c r="G320" i="1"/>
  <c r="E320" i="1"/>
  <c r="S319" i="1"/>
  <c r="Q319" i="1"/>
  <c r="O319" i="1"/>
  <c r="M319" i="1"/>
  <c r="K319" i="1"/>
  <c r="I319" i="1"/>
  <c r="G319" i="1"/>
  <c r="E319" i="1"/>
  <c r="S318" i="1"/>
  <c r="Q318" i="1"/>
  <c r="O318" i="1"/>
  <c r="M318" i="1"/>
  <c r="K318" i="1"/>
  <c r="I318" i="1"/>
  <c r="G318" i="1"/>
  <c r="E318" i="1"/>
  <c r="S317" i="1"/>
  <c r="Q317" i="1"/>
  <c r="U317" i="1" s="1"/>
  <c r="V317" i="1" s="1"/>
  <c r="O317" i="1"/>
  <c r="M317" i="1"/>
  <c r="K317" i="1"/>
  <c r="I317" i="1"/>
  <c r="G317" i="1"/>
  <c r="E317" i="1"/>
  <c r="S316" i="1"/>
  <c r="Q316" i="1"/>
  <c r="O316" i="1"/>
  <c r="M316" i="1"/>
  <c r="K316" i="1"/>
  <c r="I316" i="1"/>
  <c r="G316" i="1"/>
  <c r="E316" i="1"/>
  <c r="S315" i="1"/>
  <c r="Q315" i="1"/>
  <c r="O315" i="1"/>
  <c r="M315" i="1"/>
  <c r="K315" i="1"/>
  <c r="I315" i="1"/>
  <c r="G315" i="1"/>
  <c r="E315" i="1"/>
  <c r="S314" i="1"/>
  <c r="U314" i="1" s="1"/>
  <c r="V314" i="1" s="1"/>
  <c r="Q314" i="1"/>
  <c r="O314" i="1"/>
  <c r="M314" i="1"/>
  <c r="K314" i="1"/>
  <c r="I314" i="1"/>
  <c r="G314" i="1"/>
  <c r="E314" i="1"/>
  <c r="S313" i="1"/>
  <c r="Q313" i="1"/>
  <c r="O313" i="1"/>
  <c r="M313" i="1"/>
  <c r="K313" i="1"/>
  <c r="I313" i="1"/>
  <c r="G313" i="1"/>
  <c r="E313" i="1"/>
  <c r="S312" i="1"/>
  <c r="Q312" i="1"/>
  <c r="U312" i="1" s="1"/>
  <c r="V312" i="1" s="1"/>
  <c r="O312" i="1"/>
  <c r="M312" i="1"/>
  <c r="K312" i="1"/>
  <c r="I312" i="1"/>
  <c r="G312" i="1"/>
  <c r="E312" i="1"/>
  <c r="S311" i="1"/>
  <c r="Q311" i="1"/>
  <c r="U311" i="1" s="1"/>
  <c r="V311" i="1" s="1"/>
  <c r="O311" i="1"/>
  <c r="M311" i="1"/>
  <c r="K311" i="1"/>
  <c r="I311" i="1"/>
  <c r="G311" i="1"/>
  <c r="E311" i="1"/>
  <c r="S310" i="1"/>
  <c r="Q310" i="1"/>
  <c r="O310" i="1"/>
  <c r="M310" i="1"/>
  <c r="K310" i="1"/>
  <c r="I310" i="1"/>
  <c r="G310" i="1"/>
  <c r="E310" i="1"/>
  <c r="S309" i="1"/>
  <c r="Q309" i="1"/>
  <c r="U309" i="1" s="1"/>
  <c r="V309" i="1" s="1"/>
  <c r="O309" i="1"/>
  <c r="M309" i="1"/>
  <c r="K309" i="1"/>
  <c r="I309" i="1"/>
  <c r="G309" i="1"/>
  <c r="E309" i="1"/>
  <c r="S308" i="1"/>
  <c r="Q308" i="1"/>
  <c r="U308" i="1" s="1"/>
  <c r="V308" i="1" s="1"/>
  <c r="O308" i="1"/>
  <c r="M308" i="1"/>
  <c r="K308" i="1"/>
  <c r="I308" i="1"/>
  <c r="G308" i="1"/>
  <c r="E308" i="1"/>
  <c r="S307" i="1"/>
  <c r="Q307" i="1"/>
  <c r="O307" i="1"/>
  <c r="M307" i="1"/>
  <c r="K307" i="1"/>
  <c r="I307" i="1"/>
  <c r="G307" i="1"/>
  <c r="E307" i="1"/>
  <c r="S306" i="1"/>
  <c r="Q306" i="1"/>
  <c r="O306" i="1"/>
  <c r="M306" i="1"/>
  <c r="K306" i="1"/>
  <c r="I306" i="1"/>
  <c r="G306" i="1"/>
  <c r="E306" i="1"/>
  <c r="S305" i="1"/>
  <c r="Q305" i="1"/>
  <c r="U305" i="1" s="1"/>
  <c r="V305" i="1" s="1"/>
  <c r="O305" i="1"/>
  <c r="M305" i="1"/>
  <c r="K305" i="1"/>
  <c r="I305" i="1"/>
  <c r="G305" i="1"/>
  <c r="E305" i="1"/>
  <c r="S304" i="1"/>
  <c r="Q304" i="1"/>
  <c r="O304" i="1"/>
  <c r="M304" i="1"/>
  <c r="K304" i="1"/>
  <c r="I304" i="1"/>
  <c r="G304" i="1"/>
  <c r="E304" i="1"/>
  <c r="S303" i="1"/>
  <c r="Q303" i="1"/>
  <c r="U303" i="1" s="1"/>
  <c r="V303" i="1" s="1"/>
  <c r="O303" i="1"/>
  <c r="M303" i="1"/>
  <c r="K303" i="1"/>
  <c r="I303" i="1"/>
  <c r="G303" i="1"/>
  <c r="E303" i="1"/>
  <c r="S302" i="1"/>
  <c r="U302" i="1" s="1"/>
  <c r="V302" i="1" s="1"/>
  <c r="Q302" i="1"/>
  <c r="O302" i="1"/>
  <c r="M302" i="1"/>
  <c r="K302" i="1"/>
  <c r="I302" i="1"/>
  <c r="G302" i="1"/>
  <c r="E302" i="1"/>
  <c r="S301" i="1"/>
  <c r="Q301" i="1"/>
  <c r="O301" i="1"/>
  <c r="M301" i="1"/>
  <c r="K301" i="1"/>
  <c r="I301" i="1"/>
  <c r="G301" i="1"/>
  <c r="E301" i="1"/>
  <c r="S300" i="1"/>
  <c r="Q300" i="1"/>
  <c r="U300" i="1" s="1"/>
  <c r="V300" i="1" s="1"/>
  <c r="O300" i="1"/>
  <c r="M300" i="1"/>
  <c r="K300" i="1"/>
  <c r="I300" i="1"/>
  <c r="G300" i="1"/>
  <c r="E300" i="1"/>
  <c r="S299" i="1"/>
  <c r="Q299" i="1"/>
  <c r="U299" i="1" s="1"/>
  <c r="V299" i="1" s="1"/>
  <c r="O299" i="1"/>
  <c r="M299" i="1"/>
  <c r="K299" i="1"/>
  <c r="I299" i="1"/>
  <c r="G299" i="1"/>
  <c r="E299" i="1"/>
  <c r="S298" i="1"/>
  <c r="Q298" i="1"/>
  <c r="O298" i="1"/>
  <c r="M298" i="1"/>
  <c r="K298" i="1"/>
  <c r="I298" i="1"/>
  <c r="G298" i="1"/>
  <c r="E298" i="1"/>
  <c r="S297" i="1"/>
  <c r="Q297" i="1"/>
  <c r="U297" i="1" s="1"/>
  <c r="V297" i="1" s="1"/>
  <c r="O297" i="1"/>
  <c r="M297" i="1"/>
  <c r="K297" i="1"/>
  <c r="I297" i="1"/>
  <c r="G297" i="1"/>
  <c r="E297" i="1"/>
  <c r="S296" i="1"/>
  <c r="Q296" i="1"/>
  <c r="U296" i="1" s="1"/>
  <c r="V296" i="1" s="1"/>
  <c r="O296" i="1"/>
  <c r="M296" i="1"/>
  <c r="K296" i="1"/>
  <c r="I296" i="1"/>
  <c r="G296" i="1"/>
  <c r="E296" i="1"/>
  <c r="S295" i="1"/>
  <c r="Q295" i="1"/>
  <c r="O295" i="1"/>
  <c r="M295" i="1"/>
  <c r="K295" i="1"/>
  <c r="I295" i="1"/>
  <c r="G295" i="1"/>
  <c r="E295" i="1"/>
  <c r="S294" i="1"/>
  <c r="Q294" i="1"/>
  <c r="O294" i="1"/>
  <c r="M294" i="1"/>
  <c r="K294" i="1"/>
  <c r="I294" i="1"/>
  <c r="G294" i="1"/>
  <c r="E294" i="1"/>
  <c r="S293" i="1"/>
  <c r="Q293" i="1"/>
  <c r="U293" i="1" s="1"/>
  <c r="V293" i="1" s="1"/>
  <c r="O293" i="1"/>
  <c r="M293" i="1"/>
  <c r="K293" i="1"/>
  <c r="I293" i="1"/>
  <c r="G293" i="1"/>
  <c r="E293" i="1"/>
  <c r="S292" i="1"/>
  <c r="Q292" i="1"/>
  <c r="O292" i="1"/>
  <c r="M292" i="1"/>
  <c r="K292" i="1"/>
  <c r="I292" i="1"/>
  <c r="G292" i="1"/>
  <c r="E292" i="1"/>
  <c r="S291" i="1"/>
  <c r="Q291" i="1"/>
  <c r="O291" i="1"/>
  <c r="M291" i="1"/>
  <c r="K291" i="1"/>
  <c r="I291" i="1"/>
  <c r="G291" i="1"/>
  <c r="E291" i="1"/>
  <c r="S290" i="1"/>
  <c r="U290" i="1" s="1"/>
  <c r="V290" i="1" s="1"/>
  <c r="Q290" i="1"/>
  <c r="O290" i="1"/>
  <c r="M290" i="1"/>
  <c r="K290" i="1"/>
  <c r="I290" i="1"/>
  <c r="G290" i="1"/>
  <c r="E290" i="1"/>
  <c r="S289" i="1"/>
  <c r="Q289" i="1"/>
  <c r="O289" i="1"/>
  <c r="M289" i="1"/>
  <c r="K289" i="1"/>
  <c r="I289" i="1"/>
  <c r="G289" i="1"/>
  <c r="E289" i="1"/>
  <c r="S288" i="1"/>
  <c r="Q288" i="1"/>
  <c r="U288" i="1" s="1"/>
  <c r="V288" i="1" s="1"/>
  <c r="O288" i="1"/>
  <c r="M288" i="1"/>
  <c r="K288" i="1"/>
  <c r="I288" i="1"/>
  <c r="G288" i="1"/>
  <c r="E288" i="1"/>
  <c r="S287" i="1"/>
  <c r="Q287" i="1"/>
  <c r="U287" i="1" s="1"/>
  <c r="V287" i="1" s="1"/>
  <c r="O287" i="1"/>
  <c r="M287" i="1"/>
  <c r="K287" i="1"/>
  <c r="I287" i="1"/>
  <c r="G287" i="1"/>
  <c r="E287" i="1"/>
  <c r="S286" i="1"/>
  <c r="Q286" i="1"/>
  <c r="O286" i="1"/>
  <c r="M286" i="1"/>
  <c r="K286" i="1"/>
  <c r="I286" i="1"/>
  <c r="G286" i="1"/>
  <c r="E286" i="1"/>
  <c r="S285" i="1"/>
  <c r="Q285" i="1"/>
  <c r="U285" i="1" s="1"/>
  <c r="V285" i="1" s="1"/>
  <c r="O285" i="1"/>
  <c r="M285" i="1"/>
  <c r="K285" i="1"/>
  <c r="I285" i="1"/>
  <c r="G285" i="1"/>
  <c r="E285" i="1"/>
  <c r="S284" i="1"/>
  <c r="Q284" i="1"/>
  <c r="U284" i="1" s="1"/>
  <c r="V284" i="1" s="1"/>
  <c r="O284" i="1"/>
  <c r="M284" i="1"/>
  <c r="K284" i="1"/>
  <c r="I284" i="1"/>
  <c r="G284" i="1"/>
  <c r="E284" i="1"/>
  <c r="S283" i="1"/>
  <c r="Q283" i="1"/>
  <c r="O283" i="1"/>
  <c r="M283" i="1"/>
  <c r="K283" i="1"/>
  <c r="I283" i="1"/>
  <c r="G283" i="1"/>
  <c r="E283" i="1"/>
  <c r="S282" i="1"/>
  <c r="Q282" i="1"/>
  <c r="O282" i="1"/>
  <c r="M282" i="1"/>
  <c r="K282" i="1"/>
  <c r="I282" i="1"/>
  <c r="G282" i="1"/>
  <c r="E282" i="1"/>
  <c r="S281" i="1"/>
  <c r="Q281" i="1"/>
  <c r="U281" i="1" s="1"/>
  <c r="V281" i="1" s="1"/>
  <c r="O281" i="1"/>
  <c r="M281" i="1"/>
  <c r="K281" i="1"/>
  <c r="I281" i="1"/>
  <c r="G281" i="1"/>
  <c r="E281" i="1"/>
  <c r="S280" i="1"/>
  <c r="Q280" i="1"/>
  <c r="O280" i="1"/>
  <c r="M280" i="1"/>
  <c r="K280" i="1"/>
  <c r="I280" i="1"/>
  <c r="G280" i="1"/>
  <c r="E280" i="1"/>
  <c r="S279" i="1"/>
  <c r="Q279" i="1"/>
  <c r="U279" i="1" s="1"/>
  <c r="V279" i="1" s="1"/>
  <c r="O279" i="1"/>
  <c r="M279" i="1"/>
  <c r="K279" i="1"/>
  <c r="I279" i="1"/>
  <c r="G279" i="1"/>
  <c r="E279" i="1"/>
  <c r="S278" i="1"/>
  <c r="U278" i="1" s="1"/>
  <c r="V278" i="1" s="1"/>
  <c r="Q278" i="1"/>
  <c r="O278" i="1"/>
  <c r="M278" i="1"/>
  <c r="K278" i="1"/>
  <c r="I278" i="1"/>
  <c r="G278" i="1"/>
  <c r="E278" i="1"/>
  <c r="S277" i="1"/>
  <c r="Q277" i="1"/>
  <c r="O277" i="1"/>
  <c r="M277" i="1"/>
  <c r="K277" i="1"/>
  <c r="I277" i="1"/>
  <c r="G277" i="1"/>
  <c r="E277" i="1"/>
  <c r="S276" i="1"/>
  <c r="Q276" i="1"/>
  <c r="U276" i="1" s="1"/>
  <c r="V276" i="1" s="1"/>
  <c r="O276" i="1"/>
  <c r="M276" i="1"/>
  <c r="K276" i="1"/>
  <c r="I276" i="1"/>
  <c r="G276" i="1"/>
  <c r="E276" i="1"/>
  <c r="S275" i="1"/>
  <c r="Q275" i="1"/>
  <c r="U275" i="1" s="1"/>
  <c r="V275" i="1" s="1"/>
  <c r="O275" i="1"/>
  <c r="M275" i="1"/>
  <c r="K275" i="1"/>
  <c r="I275" i="1"/>
  <c r="G275" i="1"/>
  <c r="E275" i="1"/>
  <c r="S274" i="1"/>
  <c r="Q274" i="1"/>
  <c r="O274" i="1"/>
  <c r="M274" i="1"/>
  <c r="K274" i="1"/>
  <c r="I274" i="1"/>
  <c r="G274" i="1"/>
  <c r="E274" i="1"/>
  <c r="S273" i="1"/>
  <c r="Q273" i="1"/>
  <c r="U273" i="1" s="1"/>
  <c r="V273" i="1" s="1"/>
  <c r="O273" i="1"/>
  <c r="M273" i="1"/>
  <c r="K273" i="1"/>
  <c r="I273" i="1"/>
  <c r="G273" i="1"/>
  <c r="E273" i="1"/>
  <c r="S272" i="1"/>
  <c r="Q272" i="1"/>
  <c r="U272" i="1" s="1"/>
  <c r="V272" i="1" s="1"/>
  <c r="O272" i="1"/>
  <c r="M272" i="1"/>
  <c r="K272" i="1"/>
  <c r="I272" i="1"/>
  <c r="G272" i="1"/>
  <c r="E272" i="1"/>
  <c r="S271" i="1"/>
  <c r="Q271" i="1"/>
  <c r="O271" i="1"/>
  <c r="M271" i="1"/>
  <c r="K271" i="1"/>
  <c r="I271" i="1"/>
  <c r="G271" i="1"/>
  <c r="E271" i="1"/>
  <c r="S270" i="1"/>
  <c r="Q270" i="1"/>
  <c r="O270" i="1"/>
  <c r="M270" i="1"/>
  <c r="K270" i="1"/>
  <c r="I270" i="1"/>
  <c r="G270" i="1"/>
  <c r="E270" i="1"/>
  <c r="S269" i="1"/>
  <c r="Q269" i="1"/>
  <c r="U269" i="1" s="1"/>
  <c r="V269" i="1" s="1"/>
  <c r="O269" i="1"/>
  <c r="M269" i="1"/>
  <c r="K269" i="1"/>
  <c r="I269" i="1"/>
  <c r="G269" i="1"/>
  <c r="E269" i="1"/>
  <c r="S268" i="1"/>
  <c r="Q268" i="1"/>
  <c r="O268" i="1"/>
  <c r="M268" i="1"/>
  <c r="K268" i="1"/>
  <c r="I268" i="1"/>
  <c r="G268" i="1"/>
  <c r="E268" i="1"/>
  <c r="S267" i="1"/>
  <c r="Q267" i="1"/>
  <c r="U267" i="1" s="1"/>
  <c r="V267" i="1" s="1"/>
  <c r="O267" i="1"/>
  <c r="M267" i="1"/>
  <c r="K267" i="1"/>
  <c r="I267" i="1"/>
  <c r="G267" i="1"/>
  <c r="E267" i="1"/>
  <c r="S266" i="1"/>
  <c r="U266" i="1" s="1"/>
  <c r="V266" i="1" s="1"/>
  <c r="Q266" i="1"/>
  <c r="O266" i="1"/>
  <c r="M266" i="1"/>
  <c r="K266" i="1"/>
  <c r="I266" i="1"/>
  <c r="G266" i="1"/>
  <c r="E266" i="1"/>
  <c r="S265" i="1"/>
  <c r="Q265" i="1"/>
  <c r="O265" i="1"/>
  <c r="M265" i="1"/>
  <c r="K265" i="1"/>
  <c r="I265" i="1"/>
  <c r="G265" i="1"/>
  <c r="E265" i="1"/>
  <c r="S264" i="1"/>
  <c r="Q264" i="1"/>
  <c r="U264" i="1" s="1"/>
  <c r="V264" i="1" s="1"/>
  <c r="O264" i="1"/>
  <c r="M264" i="1"/>
  <c r="K264" i="1"/>
  <c r="I264" i="1"/>
  <c r="G264" i="1"/>
  <c r="E264" i="1"/>
  <c r="S263" i="1"/>
  <c r="Q263" i="1"/>
  <c r="U263" i="1" s="1"/>
  <c r="V263" i="1" s="1"/>
  <c r="O263" i="1"/>
  <c r="M263" i="1"/>
  <c r="K263" i="1"/>
  <c r="I263" i="1"/>
  <c r="G263" i="1"/>
  <c r="E263" i="1"/>
  <c r="S262" i="1"/>
  <c r="Q262" i="1"/>
  <c r="O262" i="1"/>
  <c r="M262" i="1"/>
  <c r="K262" i="1"/>
  <c r="I262" i="1"/>
  <c r="G262" i="1"/>
  <c r="E262" i="1"/>
  <c r="S261" i="1"/>
  <c r="Q261" i="1"/>
  <c r="U261" i="1" s="1"/>
  <c r="V261" i="1" s="1"/>
  <c r="O261" i="1"/>
  <c r="M261" i="1"/>
  <c r="K261" i="1"/>
  <c r="I261" i="1"/>
  <c r="G261" i="1"/>
  <c r="E261" i="1"/>
  <c r="S260" i="1"/>
  <c r="Q260" i="1"/>
  <c r="U260" i="1" s="1"/>
  <c r="V260" i="1" s="1"/>
  <c r="O260" i="1"/>
  <c r="M260" i="1"/>
  <c r="K260" i="1"/>
  <c r="I260" i="1"/>
  <c r="G260" i="1"/>
  <c r="E260" i="1"/>
  <c r="S259" i="1"/>
  <c r="Q259" i="1"/>
  <c r="O259" i="1"/>
  <c r="M259" i="1"/>
  <c r="K259" i="1"/>
  <c r="I259" i="1"/>
  <c r="G259" i="1"/>
  <c r="E259" i="1"/>
  <c r="S258" i="1"/>
  <c r="Q258" i="1"/>
  <c r="U258" i="1" s="1"/>
  <c r="V258" i="1" s="1"/>
  <c r="O258" i="1"/>
  <c r="M258" i="1"/>
  <c r="K258" i="1"/>
  <c r="I258" i="1"/>
  <c r="G258" i="1"/>
  <c r="E258" i="1"/>
  <c r="S257" i="1"/>
  <c r="Q257" i="1"/>
  <c r="U257" i="1" s="1"/>
  <c r="V257" i="1" s="1"/>
  <c r="O257" i="1"/>
  <c r="M257" i="1"/>
  <c r="K257" i="1"/>
  <c r="I257" i="1"/>
  <c r="G257" i="1"/>
  <c r="E257" i="1"/>
  <c r="S256" i="1"/>
  <c r="Q256" i="1"/>
  <c r="O256" i="1"/>
  <c r="M256" i="1"/>
  <c r="K256" i="1"/>
  <c r="I256" i="1"/>
  <c r="G256" i="1"/>
  <c r="E256" i="1"/>
  <c r="S255" i="1"/>
  <c r="Q255" i="1"/>
  <c r="U255" i="1" s="1"/>
  <c r="V255" i="1" s="1"/>
  <c r="O255" i="1"/>
  <c r="M255" i="1"/>
  <c r="K255" i="1"/>
  <c r="I255" i="1"/>
  <c r="G255" i="1"/>
  <c r="E255" i="1"/>
  <c r="S254" i="1"/>
  <c r="U254" i="1" s="1"/>
  <c r="V254" i="1" s="1"/>
  <c r="Q254" i="1"/>
  <c r="O254" i="1"/>
  <c r="M254" i="1"/>
  <c r="K254" i="1"/>
  <c r="I254" i="1"/>
  <c r="G254" i="1"/>
  <c r="E254" i="1"/>
  <c r="S253" i="1"/>
  <c r="Q253" i="1"/>
  <c r="O253" i="1"/>
  <c r="M253" i="1"/>
  <c r="K253" i="1"/>
  <c r="I253" i="1"/>
  <c r="G253" i="1"/>
  <c r="E253" i="1"/>
  <c r="S252" i="1"/>
  <c r="Q252" i="1"/>
  <c r="U252" i="1" s="1"/>
  <c r="V252" i="1" s="1"/>
  <c r="O252" i="1"/>
  <c r="M252" i="1"/>
  <c r="K252" i="1"/>
  <c r="I252" i="1"/>
  <c r="G252" i="1"/>
  <c r="E252" i="1"/>
  <c r="S251" i="1"/>
  <c r="Q251" i="1"/>
  <c r="U251" i="1" s="1"/>
  <c r="V251" i="1" s="1"/>
  <c r="O251" i="1"/>
  <c r="M251" i="1"/>
  <c r="K251" i="1"/>
  <c r="I251" i="1"/>
  <c r="G251" i="1"/>
  <c r="E251" i="1"/>
  <c r="S250" i="1"/>
  <c r="Q250" i="1"/>
  <c r="O250" i="1"/>
  <c r="M250" i="1"/>
  <c r="K250" i="1"/>
  <c r="I250" i="1"/>
  <c r="G250" i="1"/>
  <c r="E250" i="1"/>
  <c r="S249" i="1"/>
  <c r="Q249" i="1"/>
  <c r="U249" i="1" s="1"/>
  <c r="V249" i="1" s="1"/>
  <c r="O249" i="1"/>
  <c r="M249" i="1"/>
  <c r="K249" i="1"/>
  <c r="I249" i="1"/>
  <c r="G249" i="1"/>
  <c r="E249" i="1"/>
  <c r="S248" i="1"/>
  <c r="Q248" i="1"/>
  <c r="U248" i="1" s="1"/>
  <c r="V248" i="1" s="1"/>
  <c r="O248" i="1"/>
  <c r="M248" i="1"/>
  <c r="K248" i="1"/>
  <c r="I248" i="1"/>
  <c r="G248" i="1"/>
  <c r="E248" i="1"/>
  <c r="S247" i="1"/>
  <c r="Q247" i="1"/>
  <c r="O247" i="1"/>
  <c r="M247" i="1"/>
  <c r="K247" i="1"/>
  <c r="I247" i="1"/>
  <c r="G247" i="1"/>
  <c r="E247" i="1"/>
  <c r="S246" i="1"/>
  <c r="Q246" i="1"/>
  <c r="O246" i="1"/>
  <c r="M246" i="1"/>
  <c r="K246" i="1"/>
  <c r="I246" i="1"/>
  <c r="G246" i="1"/>
  <c r="E246" i="1"/>
  <c r="S245" i="1"/>
  <c r="Q245" i="1"/>
  <c r="U245" i="1" s="1"/>
  <c r="V245" i="1" s="1"/>
  <c r="O245" i="1"/>
  <c r="M245" i="1"/>
  <c r="K245" i="1"/>
  <c r="I245" i="1"/>
  <c r="G245" i="1"/>
  <c r="E245" i="1"/>
  <c r="S244" i="1"/>
  <c r="Q244" i="1"/>
  <c r="O244" i="1"/>
  <c r="M244" i="1"/>
  <c r="K244" i="1"/>
  <c r="I244" i="1"/>
  <c r="G244" i="1"/>
  <c r="E244" i="1"/>
  <c r="S243" i="1"/>
  <c r="Q243" i="1"/>
  <c r="U243" i="1" s="1"/>
  <c r="V243" i="1" s="1"/>
  <c r="O243" i="1"/>
  <c r="M243" i="1"/>
  <c r="K243" i="1"/>
  <c r="I243" i="1"/>
  <c r="G243" i="1"/>
  <c r="E243" i="1"/>
  <c r="S242" i="1"/>
  <c r="U242" i="1" s="1"/>
  <c r="V242" i="1" s="1"/>
  <c r="Q242" i="1"/>
  <c r="O242" i="1"/>
  <c r="M242" i="1"/>
  <c r="K242" i="1"/>
  <c r="I242" i="1"/>
  <c r="G242" i="1"/>
  <c r="E242" i="1"/>
  <c r="S241" i="1"/>
  <c r="Q241" i="1"/>
  <c r="O241" i="1"/>
  <c r="M241" i="1"/>
  <c r="K241" i="1"/>
  <c r="I241" i="1"/>
  <c r="G241" i="1"/>
  <c r="E241" i="1"/>
  <c r="S240" i="1"/>
  <c r="Q240" i="1"/>
  <c r="U240" i="1" s="1"/>
  <c r="V240" i="1" s="1"/>
  <c r="O240" i="1"/>
  <c r="M240" i="1"/>
  <c r="K240" i="1"/>
  <c r="I240" i="1"/>
  <c r="G240" i="1"/>
  <c r="E240" i="1"/>
  <c r="S239" i="1"/>
  <c r="Q239" i="1"/>
  <c r="U239" i="1" s="1"/>
  <c r="V239" i="1" s="1"/>
  <c r="O239" i="1"/>
  <c r="M239" i="1"/>
  <c r="K239" i="1"/>
  <c r="I239" i="1"/>
  <c r="G239" i="1"/>
  <c r="E239" i="1"/>
  <c r="S238" i="1"/>
  <c r="Q238" i="1"/>
  <c r="O238" i="1"/>
  <c r="M238" i="1"/>
  <c r="K238" i="1"/>
  <c r="I238" i="1"/>
  <c r="G238" i="1"/>
  <c r="E238" i="1"/>
  <c r="S237" i="1"/>
  <c r="Q237" i="1"/>
  <c r="U237" i="1" s="1"/>
  <c r="V237" i="1" s="1"/>
  <c r="O237" i="1"/>
  <c r="M237" i="1"/>
  <c r="K237" i="1"/>
  <c r="I237" i="1"/>
  <c r="G237" i="1"/>
  <c r="E237" i="1"/>
  <c r="S236" i="1"/>
  <c r="Q236" i="1"/>
  <c r="U236" i="1" s="1"/>
  <c r="V236" i="1" s="1"/>
  <c r="O236" i="1"/>
  <c r="M236" i="1"/>
  <c r="K236" i="1"/>
  <c r="I236" i="1"/>
  <c r="G236" i="1"/>
  <c r="E236" i="1"/>
  <c r="S235" i="1"/>
  <c r="Q235" i="1"/>
  <c r="O235" i="1"/>
  <c r="M235" i="1"/>
  <c r="K235" i="1"/>
  <c r="I235" i="1"/>
  <c r="G235" i="1"/>
  <c r="E235" i="1"/>
  <c r="S234" i="1"/>
  <c r="Q234" i="1"/>
  <c r="U234" i="1" s="1"/>
  <c r="V234" i="1" s="1"/>
  <c r="O234" i="1"/>
  <c r="M234" i="1"/>
  <c r="K234" i="1"/>
  <c r="I234" i="1"/>
  <c r="G234" i="1"/>
  <c r="E234" i="1"/>
  <c r="S233" i="1"/>
  <c r="Q233" i="1"/>
  <c r="U233" i="1" s="1"/>
  <c r="V233" i="1" s="1"/>
  <c r="O233" i="1"/>
  <c r="M233" i="1"/>
  <c r="K233" i="1"/>
  <c r="I233" i="1"/>
  <c r="G233" i="1"/>
  <c r="E233" i="1"/>
  <c r="S232" i="1"/>
  <c r="Q232" i="1"/>
  <c r="O232" i="1"/>
  <c r="M232" i="1"/>
  <c r="K232" i="1"/>
  <c r="I232" i="1"/>
  <c r="G232" i="1"/>
  <c r="E232" i="1"/>
  <c r="S231" i="1"/>
  <c r="Q231" i="1"/>
  <c r="U231" i="1" s="1"/>
  <c r="V231" i="1" s="1"/>
  <c r="O231" i="1"/>
  <c r="M231" i="1"/>
  <c r="K231" i="1"/>
  <c r="I231" i="1"/>
  <c r="G231" i="1"/>
  <c r="E231" i="1"/>
  <c r="S230" i="1"/>
  <c r="U230" i="1" s="1"/>
  <c r="V230" i="1" s="1"/>
  <c r="Q230" i="1"/>
  <c r="O230" i="1"/>
  <c r="M230" i="1"/>
  <c r="K230" i="1"/>
  <c r="I230" i="1"/>
  <c r="G230" i="1"/>
  <c r="E230" i="1"/>
  <c r="S229" i="1"/>
  <c r="Q229" i="1"/>
  <c r="O229" i="1"/>
  <c r="M229" i="1"/>
  <c r="K229" i="1"/>
  <c r="I229" i="1"/>
  <c r="G229" i="1"/>
  <c r="E229" i="1"/>
  <c r="S228" i="1"/>
  <c r="Q228" i="1"/>
  <c r="U228" i="1" s="1"/>
  <c r="V228" i="1" s="1"/>
  <c r="O228" i="1"/>
  <c r="M228" i="1"/>
  <c r="K228" i="1"/>
  <c r="I228" i="1"/>
  <c r="G228" i="1"/>
  <c r="E228" i="1"/>
  <c r="S227" i="1"/>
  <c r="Q227" i="1"/>
  <c r="O227" i="1"/>
  <c r="M227" i="1"/>
  <c r="K227" i="1"/>
  <c r="I227" i="1"/>
  <c r="G227" i="1"/>
  <c r="E227" i="1"/>
  <c r="S226" i="1"/>
  <c r="Q226" i="1"/>
  <c r="U226" i="1" s="1"/>
  <c r="V226" i="1" s="1"/>
  <c r="O226" i="1"/>
  <c r="M226" i="1"/>
  <c r="K226" i="1"/>
  <c r="I226" i="1"/>
  <c r="G226" i="1"/>
  <c r="E226" i="1"/>
  <c r="S225" i="1"/>
  <c r="Q225" i="1"/>
  <c r="U225" i="1" s="1"/>
  <c r="V225" i="1" s="1"/>
  <c r="O225" i="1"/>
  <c r="M225" i="1"/>
  <c r="K225" i="1"/>
  <c r="I225" i="1"/>
  <c r="G225" i="1"/>
  <c r="E225" i="1"/>
  <c r="S224" i="1"/>
  <c r="Q224" i="1"/>
  <c r="U224" i="1" s="1"/>
  <c r="V224" i="1" s="1"/>
  <c r="O224" i="1"/>
  <c r="M224" i="1"/>
  <c r="K224" i="1"/>
  <c r="I224" i="1"/>
  <c r="G224" i="1"/>
  <c r="E224" i="1"/>
  <c r="S223" i="1"/>
  <c r="Q223" i="1"/>
  <c r="O223" i="1"/>
  <c r="M223" i="1"/>
  <c r="K223" i="1"/>
  <c r="I223" i="1"/>
  <c r="G223" i="1"/>
  <c r="E223" i="1"/>
  <c r="S222" i="1"/>
  <c r="Q222" i="1"/>
  <c r="O222" i="1"/>
  <c r="M222" i="1"/>
  <c r="K222" i="1"/>
  <c r="I222" i="1"/>
  <c r="G222" i="1"/>
  <c r="E222" i="1"/>
  <c r="S221" i="1"/>
  <c r="Q221" i="1"/>
  <c r="U221" i="1" s="1"/>
  <c r="V221" i="1" s="1"/>
  <c r="O221" i="1"/>
  <c r="M221" i="1"/>
  <c r="K221" i="1"/>
  <c r="I221" i="1"/>
  <c r="G221" i="1"/>
  <c r="E221" i="1"/>
  <c r="S220" i="1"/>
  <c r="Q220" i="1"/>
  <c r="U220" i="1" s="1"/>
  <c r="V220" i="1" s="1"/>
  <c r="O220" i="1"/>
  <c r="M220" i="1"/>
  <c r="K220" i="1"/>
  <c r="I220" i="1"/>
  <c r="G220" i="1"/>
  <c r="E220" i="1"/>
  <c r="S219" i="1"/>
  <c r="Q219" i="1"/>
  <c r="U219" i="1" s="1"/>
  <c r="V219" i="1" s="1"/>
  <c r="O219" i="1"/>
  <c r="M219" i="1"/>
  <c r="K219" i="1"/>
  <c r="I219" i="1"/>
  <c r="G219" i="1"/>
  <c r="E219" i="1"/>
  <c r="S218" i="1"/>
  <c r="U218" i="1" s="1"/>
  <c r="V218" i="1" s="1"/>
  <c r="Q218" i="1"/>
  <c r="O218" i="1"/>
  <c r="M218" i="1"/>
  <c r="K218" i="1"/>
  <c r="I218" i="1"/>
  <c r="G218" i="1"/>
  <c r="E218" i="1"/>
  <c r="S217" i="1"/>
  <c r="Q217" i="1"/>
  <c r="O217" i="1"/>
  <c r="M217" i="1"/>
  <c r="K217" i="1"/>
  <c r="I217" i="1"/>
  <c r="G217" i="1"/>
  <c r="E217" i="1"/>
  <c r="S216" i="1"/>
  <c r="Q216" i="1"/>
  <c r="U216" i="1" s="1"/>
  <c r="V216" i="1" s="1"/>
  <c r="O216" i="1"/>
  <c r="M216" i="1"/>
  <c r="K216" i="1"/>
  <c r="I216" i="1"/>
  <c r="G216" i="1"/>
  <c r="E216" i="1"/>
  <c r="S215" i="1"/>
  <c r="Q215" i="1"/>
  <c r="U215" i="1" s="1"/>
  <c r="V215" i="1" s="1"/>
  <c r="O215" i="1"/>
  <c r="M215" i="1"/>
  <c r="K215" i="1"/>
  <c r="I215" i="1"/>
  <c r="G215" i="1"/>
  <c r="E215" i="1"/>
  <c r="S214" i="1"/>
  <c r="Q214" i="1"/>
  <c r="O214" i="1"/>
  <c r="M214" i="1"/>
  <c r="K214" i="1"/>
  <c r="I214" i="1"/>
  <c r="G214" i="1"/>
  <c r="E214" i="1"/>
  <c r="S213" i="1"/>
  <c r="Q213" i="1"/>
  <c r="U213" i="1" s="1"/>
  <c r="V213" i="1" s="1"/>
  <c r="O213" i="1"/>
  <c r="M213" i="1"/>
  <c r="K213" i="1"/>
  <c r="I213" i="1"/>
  <c r="G213" i="1"/>
  <c r="E213" i="1"/>
  <c r="S212" i="1"/>
  <c r="Q212" i="1"/>
  <c r="U212" i="1" s="1"/>
  <c r="V212" i="1" s="1"/>
  <c r="O212" i="1"/>
  <c r="M212" i="1"/>
  <c r="K212" i="1"/>
  <c r="I212" i="1"/>
  <c r="G212" i="1"/>
  <c r="E212" i="1"/>
  <c r="S211" i="1"/>
  <c r="Q211" i="1"/>
  <c r="O211" i="1"/>
  <c r="M211" i="1"/>
  <c r="K211" i="1"/>
  <c r="I211" i="1"/>
  <c r="G211" i="1"/>
  <c r="E211" i="1"/>
  <c r="S210" i="1"/>
  <c r="Q210" i="1"/>
  <c r="U210" i="1" s="1"/>
  <c r="V210" i="1" s="1"/>
  <c r="O210" i="1"/>
  <c r="M210" i="1"/>
  <c r="K210" i="1"/>
  <c r="I210" i="1"/>
  <c r="G210" i="1"/>
  <c r="E210" i="1"/>
  <c r="S209" i="1"/>
  <c r="Q209" i="1"/>
  <c r="U209" i="1" s="1"/>
  <c r="V209" i="1" s="1"/>
  <c r="O209" i="1"/>
  <c r="M209" i="1"/>
  <c r="K209" i="1"/>
  <c r="I209" i="1"/>
  <c r="G209" i="1"/>
  <c r="E209" i="1"/>
  <c r="S208" i="1"/>
  <c r="Q208" i="1"/>
  <c r="U208" i="1" s="1"/>
  <c r="V208" i="1" s="1"/>
  <c r="O208" i="1"/>
  <c r="M208" i="1"/>
  <c r="K208" i="1"/>
  <c r="I208" i="1"/>
  <c r="G208" i="1"/>
  <c r="E208" i="1"/>
  <c r="S207" i="1"/>
  <c r="Q207" i="1"/>
  <c r="U207" i="1" s="1"/>
  <c r="V207" i="1" s="1"/>
  <c r="O207" i="1"/>
  <c r="M207" i="1"/>
  <c r="K207" i="1"/>
  <c r="I207" i="1"/>
  <c r="G207" i="1"/>
  <c r="E207" i="1"/>
  <c r="S206" i="1"/>
  <c r="U206" i="1" s="1"/>
  <c r="V206" i="1" s="1"/>
  <c r="Q206" i="1"/>
  <c r="O206" i="1"/>
  <c r="M206" i="1"/>
  <c r="K206" i="1"/>
  <c r="I206" i="1"/>
  <c r="G206" i="1"/>
  <c r="E206" i="1"/>
  <c r="S205" i="1"/>
  <c r="Q205" i="1"/>
  <c r="O205" i="1"/>
  <c r="M205" i="1"/>
  <c r="K205" i="1"/>
  <c r="I205" i="1"/>
  <c r="G205" i="1"/>
  <c r="E205" i="1"/>
  <c r="S204" i="1"/>
  <c r="Q204" i="1"/>
  <c r="U204" i="1" s="1"/>
  <c r="V204" i="1" s="1"/>
  <c r="O204" i="1"/>
  <c r="M204" i="1"/>
  <c r="K204" i="1"/>
  <c r="I204" i="1"/>
  <c r="G204" i="1"/>
  <c r="E204" i="1"/>
  <c r="S203" i="1"/>
  <c r="Q203" i="1"/>
  <c r="U203" i="1" s="1"/>
  <c r="V203" i="1" s="1"/>
  <c r="O203" i="1"/>
  <c r="M203" i="1"/>
  <c r="K203" i="1"/>
  <c r="I203" i="1"/>
  <c r="G203" i="1"/>
  <c r="E203" i="1"/>
  <c r="S202" i="1"/>
  <c r="Q202" i="1"/>
  <c r="U202" i="1" s="1"/>
  <c r="V202" i="1" s="1"/>
  <c r="O202" i="1"/>
  <c r="M202" i="1"/>
  <c r="K202" i="1"/>
  <c r="I202" i="1"/>
  <c r="G202" i="1"/>
  <c r="E202" i="1"/>
  <c r="S201" i="1"/>
  <c r="Q201" i="1"/>
  <c r="U201" i="1" s="1"/>
  <c r="V201" i="1" s="1"/>
  <c r="O201" i="1"/>
  <c r="M201" i="1"/>
  <c r="K201" i="1"/>
  <c r="I201" i="1"/>
  <c r="G201" i="1"/>
  <c r="E201" i="1"/>
  <c r="S200" i="1"/>
  <c r="Q200" i="1"/>
  <c r="U200" i="1" s="1"/>
  <c r="V200" i="1" s="1"/>
  <c r="O200" i="1"/>
  <c r="M200" i="1"/>
  <c r="K200" i="1"/>
  <c r="I200" i="1"/>
  <c r="G200" i="1"/>
  <c r="E200" i="1"/>
  <c r="S199" i="1"/>
  <c r="Q199" i="1"/>
  <c r="O199" i="1"/>
  <c r="M199" i="1"/>
  <c r="K199" i="1"/>
  <c r="I199" i="1"/>
  <c r="G199" i="1"/>
  <c r="E199" i="1"/>
  <c r="S198" i="1"/>
  <c r="Q198" i="1"/>
  <c r="U198" i="1" s="1"/>
  <c r="V198" i="1" s="1"/>
  <c r="O198" i="1"/>
  <c r="M198" i="1"/>
  <c r="K198" i="1"/>
  <c r="I198" i="1"/>
  <c r="G198" i="1"/>
  <c r="E198" i="1"/>
  <c r="S197" i="1"/>
  <c r="Q197" i="1"/>
  <c r="U197" i="1" s="1"/>
  <c r="V197" i="1" s="1"/>
  <c r="O197" i="1"/>
  <c r="M197" i="1"/>
  <c r="K197" i="1"/>
  <c r="I197" i="1"/>
  <c r="G197" i="1"/>
  <c r="E197" i="1"/>
  <c r="S196" i="1"/>
  <c r="Q196" i="1"/>
  <c r="U196" i="1" s="1"/>
  <c r="V196" i="1" s="1"/>
  <c r="O196" i="1"/>
  <c r="M196" i="1"/>
  <c r="K196" i="1"/>
  <c r="I196" i="1"/>
  <c r="G196" i="1"/>
  <c r="E196" i="1"/>
  <c r="S195" i="1"/>
  <c r="Q195" i="1"/>
  <c r="U195" i="1" s="1"/>
  <c r="V195" i="1" s="1"/>
  <c r="O195" i="1"/>
  <c r="M195" i="1"/>
  <c r="K195" i="1"/>
  <c r="I195" i="1"/>
  <c r="G195" i="1"/>
  <c r="E195" i="1"/>
  <c r="S194" i="1"/>
  <c r="U194" i="1" s="1"/>
  <c r="V194" i="1" s="1"/>
  <c r="Q194" i="1"/>
  <c r="O194" i="1"/>
  <c r="M194" i="1"/>
  <c r="K194" i="1"/>
  <c r="I194" i="1"/>
  <c r="G194" i="1"/>
  <c r="E194" i="1"/>
  <c r="S193" i="1"/>
  <c r="Q193" i="1"/>
  <c r="O193" i="1"/>
  <c r="M193" i="1"/>
  <c r="K193" i="1"/>
  <c r="I193" i="1"/>
  <c r="G193" i="1"/>
  <c r="E193" i="1"/>
  <c r="S192" i="1"/>
  <c r="Q192" i="1"/>
  <c r="U192" i="1" s="1"/>
  <c r="V192" i="1" s="1"/>
  <c r="O192" i="1"/>
  <c r="M192" i="1"/>
  <c r="K192" i="1"/>
  <c r="I192" i="1"/>
  <c r="G192" i="1"/>
  <c r="E192" i="1"/>
  <c r="S191" i="1"/>
  <c r="Q191" i="1"/>
  <c r="U191" i="1" s="1"/>
  <c r="V191" i="1" s="1"/>
  <c r="O191" i="1"/>
  <c r="M191" i="1"/>
  <c r="K191" i="1"/>
  <c r="I191" i="1"/>
  <c r="G191" i="1"/>
  <c r="E191" i="1"/>
  <c r="S190" i="1"/>
  <c r="Q190" i="1"/>
  <c r="U190" i="1" s="1"/>
  <c r="V190" i="1" s="1"/>
  <c r="O190" i="1"/>
  <c r="M190" i="1"/>
  <c r="K190" i="1"/>
  <c r="I190" i="1"/>
  <c r="G190" i="1"/>
  <c r="E190" i="1"/>
  <c r="S189" i="1"/>
  <c r="Q189" i="1"/>
  <c r="U189" i="1" s="1"/>
  <c r="V189" i="1" s="1"/>
  <c r="O189" i="1"/>
  <c r="M189" i="1"/>
  <c r="K189" i="1"/>
  <c r="I189" i="1"/>
  <c r="G189" i="1"/>
  <c r="E189" i="1"/>
  <c r="S188" i="1"/>
  <c r="Q188" i="1"/>
  <c r="U188" i="1" s="1"/>
  <c r="V188" i="1" s="1"/>
  <c r="O188" i="1"/>
  <c r="M188" i="1"/>
  <c r="K188" i="1"/>
  <c r="I188" i="1"/>
  <c r="G188" i="1"/>
  <c r="E188" i="1"/>
  <c r="S187" i="1"/>
  <c r="Q187" i="1"/>
  <c r="O187" i="1"/>
  <c r="M187" i="1"/>
  <c r="K187" i="1"/>
  <c r="I187" i="1"/>
  <c r="G187" i="1"/>
  <c r="E187" i="1"/>
  <c r="S186" i="1"/>
  <c r="Q186" i="1"/>
  <c r="O186" i="1"/>
  <c r="M186" i="1"/>
  <c r="K186" i="1"/>
  <c r="I186" i="1"/>
  <c r="G186" i="1"/>
  <c r="E186" i="1"/>
  <c r="S185" i="1"/>
  <c r="Q185" i="1"/>
  <c r="U185" i="1" s="1"/>
  <c r="V185" i="1" s="1"/>
  <c r="O185" i="1"/>
  <c r="M185" i="1"/>
  <c r="K185" i="1"/>
  <c r="I185" i="1"/>
  <c r="G185" i="1"/>
  <c r="E185" i="1"/>
  <c r="S184" i="1"/>
  <c r="Q184" i="1"/>
  <c r="U184" i="1" s="1"/>
  <c r="V184" i="1" s="1"/>
  <c r="O184" i="1"/>
  <c r="M184" i="1"/>
  <c r="K184" i="1"/>
  <c r="I184" i="1"/>
  <c r="G184" i="1"/>
  <c r="E184" i="1"/>
  <c r="S183" i="1"/>
  <c r="Q183" i="1"/>
  <c r="U183" i="1" s="1"/>
  <c r="V183" i="1" s="1"/>
  <c r="O183" i="1"/>
  <c r="M183" i="1"/>
  <c r="K183" i="1"/>
  <c r="I183" i="1"/>
  <c r="G183" i="1"/>
  <c r="E183" i="1"/>
  <c r="S182" i="1"/>
  <c r="U182" i="1" s="1"/>
  <c r="V182" i="1" s="1"/>
  <c r="Q182" i="1"/>
  <c r="O182" i="1"/>
  <c r="M182" i="1"/>
  <c r="K182" i="1"/>
  <c r="I182" i="1"/>
  <c r="G182" i="1"/>
  <c r="E182" i="1"/>
  <c r="S181" i="1"/>
  <c r="Q181" i="1"/>
  <c r="O181" i="1"/>
  <c r="M181" i="1"/>
  <c r="K181" i="1"/>
  <c r="I181" i="1"/>
  <c r="G181" i="1"/>
  <c r="E181" i="1"/>
  <c r="S180" i="1"/>
  <c r="Q180" i="1"/>
  <c r="U180" i="1" s="1"/>
  <c r="V180" i="1" s="1"/>
  <c r="O180" i="1"/>
  <c r="M180" i="1"/>
  <c r="K180" i="1"/>
  <c r="I180" i="1"/>
  <c r="G180" i="1"/>
  <c r="E180" i="1"/>
  <c r="S179" i="1"/>
  <c r="Q179" i="1"/>
  <c r="U179" i="1" s="1"/>
  <c r="V179" i="1" s="1"/>
  <c r="O179" i="1"/>
  <c r="M179" i="1"/>
  <c r="K179" i="1"/>
  <c r="I179" i="1"/>
  <c r="G179" i="1"/>
  <c r="E179" i="1"/>
  <c r="S178" i="1"/>
  <c r="Q178" i="1"/>
  <c r="U178" i="1" s="1"/>
  <c r="V178" i="1" s="1"/>
  <c r="O178" i="1"/>
  <c r="M178" i="1"/>
  <c r="K178" i="1"/>
  <c r="I178" i="1"/>
  <c r="G178" i="1"/>
  <c r="E178" i="1"/>
  <c r="S177" i="1"/>
  <c r="Q177" i="1"/>
  <c r="U177" i="1" s="1"/>
  <c r="V177" i="1" s="1"/>
  <c r="O177" i="1"/>
  <c r="M177" i="1"/>
  <c r="K177" i="1"/>
  <c r="I177" i="1"/>
  <c r="G177" i="1"/>
  <c r="E177" i="1"/>
  <c r="S176" i="1"/>
  <c r="Q176" i="1"/>
  <c r="U176" i="1" s="1"/>
  <c r="V176" i="1" s="1"/>
  <c r="O176" i="1"/>
  <c r="M176" i="1"/>
  <c r="K176" i="1"/>
  <c r="I176" i="1"/>
  <c r="G176" i="1"/>
  <c r="E176" i="1"/>
  <c r="S175" i="1"/>
  <c r="Q175" i="1"/>
  <c r="O175" i="1"/>
  <c r="M175" i="1"/>
  <c r="K175" i="1"/>
  <c r="I175" i="1"/>
  <c r="G175" i="1"/>
  <c r="E175" i="1"/>
  <c r="S174" i="1"/>
  <c r="Q174" i="1"/>
  <c r="U174" i="1" s="1"/>
  <c r="V174" i="1" s="1"/>
  <c r="O174" i="1"/>
  <c r="M174" i="1"/>
  <c r="K174" i="1"/>
  <c r="I174" i="1"/>
  <c r="G174" i="1"/>
  <c r="E174" i="1"/>
  <c r="S173" i="1"/>
  <c r="Q173" i="1"/>
  <c r="U173" i="1" s="1"/>
  <c r="V173" i="1" s="1"/>
  <c r="O173" i="1"/>
  <c r="M173" i="1"/>
  <c r="K173" i="1"/>
  <c r="I173" i="1"/>
  <c r="G173" i="1"/>
  <c r="E173" i="1"/>
  <c r="S172" i="1"/>
  <c r="Q172" i="1"/>
  <c r="U172" i="1" s="1"/>
  <c r="V172" i="1" s="1"/>
  <c r="O172" i="1"/>
  <c r="M172" i="1"/>
  <c r="K172" i="1"/>
  <c r="I172" i="1"/>
  <c r="G172" i="1"/>
  <c r="E172" i="1"/>
  <c r="S171" i="1"/>
  <c r="Q171" i="1"/>
  <c r="U171" i="1" s="1"/>
  <c r="V171" i="1" s="1"/>
  <c r="O171" i="1"/>
  <c r="M171" i="1"/>
  <c r="K171" i="1"/>
  <c r="I171" i="1"/>
  <c r="G171" i="1"/>
  <c r="E171" i="1"/>
  <c r="S170" i="1"/>
  <c r="Q170" i="1"/>
  <c r="U170" i="1" s="1"/>
  <c r="V170" i="1" s="1"/>
  <c r="O170" i="1"/>
  <c r="M170" i="1"/>
  <c r="K170" i="1"/>
  <c r="I170" i="1"/>
  <c r="G170" i="1"/>
  <c r="E170" i="1"/>
  <c r="S169" i="1"/>
  <c r="Q169" i="1"/>
  <c r="O169" i="1"/>
  <c r="M169" i="1"/>
  <c r="K169" i="1"/>
  <c r="I169" i="1"/>
  <c r="G169" i="1"/>
  <c r="E169" i="1"/>
  <c r="S168" i="1"/>
  <c r="Q168" i="1"/>
  <c r="U168" i="1" s="1"/>
  <c r="V168" i="1" s="1"/>
  <c r="O168" i="1"/>
  <c r="M168" i="1"/>
  <c r="K168" i="1"/>
  <c r="I168" i="1"/>
  <c r="G168" i="1"/>
  <c r="E168" i="1"/>
  <c r="S167" i="1"/>
  <c r="Q167" i="1"/>
  <c r="U167" i="1" s="1"/>
  <c r="V167" i="1" s="1"/>
  <c r="O167" i="1"/>
  <c r="M167" i="1"/>
  <c r="K167" i="1"/>
  <c r="I167" i="1"/>
  <c r="G167" i="1"/>
  <c r="E167" i="1"/>
  <c r="S166" i="1"/>
  <c r="Q166" i="1"/>
  <c r="O166" i="1"/>
  <c r="M166" i="1"/>
  <c r="K166" i="1"/>
  <c r="I166" i="1"/>
  <c r="G166" i="1"/>
  <c r="E166" i="1"/>
  <c r="S165" i="1"/>
  <c r="Q165" i="1"/>
  <c r="U165" i="1" s="1"/>
  <c r="V165" i="1" s="1"/>
  <c r="O165" i="1"/>
  <c r="M165" i="1"/>
  <c r="K165" i="1"/>
  <c r="I165" i="1"/>
  <c r="G165" i="1"/>
  <c r="E165" i="1"/>
  <c r="S164" i="1"/>
  <c r="Q164" i="1"/>
  <c r="U164" i="1" s="1"/>
  <c r="V164" i="1" s="1"/>
  <c r="O164" i="1"/>
  <c r="M164" i="1"/>
  <c r="K164" i="1"/>
  <c r="I164" i="1"/>
  <c r="G164" i="1"/>
  <c r="E164" i="1"/>
  <c r="S163" i="1"/>
  <c r="Q163" i="1"/>
  <c r="O163" i="1"/>
  <c r="M163" i="1"/>
  <c r="K163" i="1"/>
  <c r="I163" i="1"/>
  <c r="G163" i="1"/>
  <c r="E163" i="1"/>
  <c r="S162" i="1"/>
  <c r="Q162" i="1"/>
  <c r="U162" i="1" s="1"/>
  <c r="V162" i="1" s="1"/>
  <c r="O162" i="1"/>
  <c r="M162" i="1"/>
  <c r="K162" i="1"/>
  <c r="I162" i="1"/>
  <c r="G162" i="1"/>
  <c r="E162" i="1"/>
  <c r="S161" i="1"/>
  <c r="Q161" i="1"/>
  <c r="U161" i="1" s="1"/>
  <c r="V161" i="1" s="1"/>
  <c r="O161" i="1"/>
  <c r="M161" i="1"/>
  <c r="K161" i="1"/>
  <c r="I161" i="1"/>
  <c r="G161" i="1"/>
  <c r="E161" i="1"/>
  <c r="S160" i="1"/>
  <c r="Q160" i="1"/>
  <c r="U160" i="1" s="1"/>
  <c r="V160" i="1" s="1"/>
  <c r="O160" i="1"/>
  <c r="M160" i="1"/>
  <c r="K160" i="1"/>
  <c r="I160" i="1"/>
  <c r="G160" i="1"/>
  <c r="E160" i="1"/>
  <c r="S159" i="1"/>
  <c r="Q159" i="1"/>
  <c r="U159" i="1" s="1"/>
  <c r="V159" i="1" s="1"/>
  <c r="O159" i="1"/>
  <c r="M159" i="1"/>
  <c r="K159" i="1"/>
  <c r="I159" i="1"/>
  <c r="G159" i="1"/>
  <c r="E159" i="1"/>
  <c r="S158" i="1"/>
  <c r="U158" i="1" s="1"/>
  <c r="V158" i="1" s="1"/>
  <c r="Q158" i="1"/>
  <c r="O158" i="1"/>
  <c r="M158" i="1"/>
  <c r="K158" i="1"/>
  <c r="I158" i="1"/>
  <c r="G158" i="1"/>
  <c r="E158" i="1"/>
  <c r="S157" i="1"/>
  <c r="Q157" i="1"/>
  <c r="O157" i="1"/>
  <c r="M157" i="1"/>
  <c r="K157" i="1"/>
  <c r="I157" i="1"/>
  <c r="G157" i="1"/>
  <c r="E157" i="1"/>
  <c r="S156" i="1"/>
  <c r="Q156" i="1"/>
  <c r="U156" i="1" s="1"/>
  <c r="V156" i="1" s="1"/>
  <c r="O156" i="1"/>
  <c r="M156" i="1"/>
  <c r="K156" i="1"/>
  <c r="I156" i="1"/>
  <c r="G156" i="1"/>
  <c r="E156" i="1"/>
  <c r="S155" i="1"/>
  <c r="Q155" i="1"/>
  <c r="U155" i="1" s="1"/>
  <c r="V155" i="1" s="1"/>
  <c r="O155" i="1"/>
  <c r="M155" i="1"/>
  <c r="K155" i="1"/>
  <c r="I155" i="1"/>
  <c r="G155" i="1"/>
  <c r="E155" i="1"/>
  <c r="S154" i="1"/>
  <c r="Q154" i="1"/>
  <c r="U154" i="1" s="1"/>
  <c r="V154" i="1" s="1"/>
  <c r="O154" i="1"/>
  <c r="M154" i="1"/>
  <c r="K154" i="1"/>
  <c r="I154" i="1"/>
  <c r="G154" i="1"/>
  <c r="E154" i="1"/>
  <c r="S153" i="1"/>
  <c r="Q153" i="1"/>
  <c r="U153" i="1" s="1"/>
  <c r="V153" i="1" s="1"/>
  <c r="O153" i="1"/>
  <c r="M153" i="1"/>
  <c r="K153" i="1"/>
  <c r="I153" i="1"/>
  <c r="G153" i="1"/>
  <c r="E153" i="1"/>
  <c r="S152" i="1"/>
  <c r="Q152" i="1"/>
  <c r="U152" i="1" s="1"/>
  <c r="V152" i="1" s="1"/>
  <c r="O152" i="1"/>
  <c r="M152" i="1"/>
  <c r="K152" i="1"/>
  <c r="I152" i="1"/>
  <c r="G152" i="1"/>
  <c r="E152" i="1"/>
  <c r="S151" i="1"/>
  <c r="Q151" i="1"/>
  <c r="O151" i="1"/>
  <c r="M151" i="1"/>
  <c r="K151" i="1"/>
  <c r="I151" i="1"/>
  <c r="G151" i="1"/>
  <c r="E151" i="1"/>
  <c r="S150" i="1"/>
  <c r="Q150" i="1"/>
  <c r="U150" i="1" s="1"/>
  <c r="V150" i="1" s="1"/>
  <c r="O150" i="1"/>
  <c r="M150" i="1"/>
  <c r="K150" i="1"/>
  <c r="I150" i="1"/>
  <c r="G150" i="1"/>
  <c r="E150" i="1"/>
  <c r="S149" i="1"/>
  <c r="Q149" i="1"/>
  <c r="U149" i="1" s="1"/>
  <c r="V149" i="1" s="1"/>
  <c r="O149" i="1"/>
  <c r="M149" i="1"/>
  <c r="K149" i="1"/>
  <c r="I149" i="1"/>
  <c r="G149" i="1"/>
  <c r="E149" i="1"/>
  <c r="S148" i="1"/>
  <c r="Q148" i="1"/>
  <c r="U148" i="1" s="1"/>
  <c r="V148" i="1" s="1"/>
  <c r="O148" i="1"/>
  <c r="M148" i="1"/>
  <c r="K148" i="1"/>
  <c r="I148" i="1"/>
  <c r="G148" i="1"/>
  <c r="E148" i="1"/>
  <c r="S147" i="1"/>
  <c r="Q147" i="1"/>
  <c r="U147" i="1" s="1"/>
  <c r="V147" i="1" s="1"/>
  <c r="O147" i="1"/>
  <c r="M147" i="1"/>
  <c r="K147" i="1"/>
  <c r="I147" i="1"/>
  <c r="G147" i="1"/>
  <c r="E147" i="1"/>
  <c r="S146" i="1"/>
  <c r="Q146" i="1"/>
  <c r="U146" i="1" s="1"/>
  <c r="V146" i="1" s="1"/>
  <c r="O146" i="1"/>
  <c r="M146" i="1"/>
  <c r="K146" i="1"/>
  <c r="I146" i="1"/>
  <c r="G146" i="1"/>
  <c r="E146" i="1"/>
  <c r="S145" i="1"/>
  <c r="Q145" i="1"/>
  <c r="O145" i="1"/>
  <c r="M145" i="1"/>
  <c r="K145" i="1"/>
  <c r="I145" i="1"/>
  <c r="G145" i="1"/>
  <c r="E145" i="1"/>
  <c r="S144" i="1"/>
  <c r="Q144" i="1"/>
  <c r="U144" i="1" s="1"/>
  <c r="V144" i="1" s="1"/>
  <c r="O144" i="1"/>
  <c r="M144" i="1"/>
  <c r="K144" i="1"/>
  <c r="I144" i="1"/>
  <c r="G144" i="1"/>
  <c r="E144" i="1"/>
  <c r="S143" i="1"/>
  <c r="Q143" i="1"/>
  <c r="U143" i="1" s="1"/>
  <c r="V143" i="1" s="1"/>
  <c r="O143" i="1"/>
  <c r="M143" i="1"/>
  <c r="K143" i="1"/>
  <c r="I143" i="1"/>
  <c r="G143" i="1"/>
  <c r="E143" i="1"/>
  <c r="S142" i="1"/>
  <c r="Q142" i="1"/>
  <c r="U142" i="1" s="1"/>
  <c r="V142" i="1" s="1"/>
  <c r="O142" i="1"/>
  <c r="M142" i="1"/>
  <c r="K142" i="1"/>
  <c r="I142" i="1"/>
  <c r="G142" i="1"/>
  <c r="E142" i="1"/>
  <c r="S141" i="1"/>
  <c r="Q141" i="1"/>
  <c r="U141" i="1" s="1"/>
  <c r="V141" i="1" s="1"/>
  <c r="O141" i="1"/>
  <c r="M141" i="1"/>
  <c r="K141" i="1"/>
  <c r="I141" i="1"/>
  <c r="G141" i="1"/>
  <c r="E141" i="1"/>
  <c r="S140" i="1"/>
  <c r="Q140" i="1"/>
  <c r="U140" i="1" s="1"/>
  <c r="V140" i="1" s="1"/>
  <c r="O140" i="1"/>
  <c r="M140" i="1"/>
  <c r="K140" i="1"/>
  <c r="I140" i="1"/>
  <c r="G140" i="1"/>
  <c r="E140" i="1"/>
  <c r="S139" i="1"/>
  <c r="Q139" i="1"/>
  <c r="O139" i="1"/>
  <c r="M139" i="1"/>
  <c r="K139" i="1"/>
  <c r="I139" i="1"/>
  <c r="G139" i="1"/>
  <c r="E139" i="1"/>
  <c r="S138" i="1"/>
  <c r="Q138" i="1"/>
  <c r="U138" i="1" s="1"/>
  <c r="V138" i="1" s="1"/>
  <c r="O138" i="1"/>
  <c r="M138" i="1"/>
  <c r="K138" i="1"/>
  <c r="I138" i="1"/>
  <c r="G138" i="1"/>
  <c r="E138" i="1"/>
  <c r="S137" i="1"/>
  <c r="Q137" i="1"/>
  <c r="U137" i="1" s="1"/>
  <c r="V137" i="1" s="1"/>
  <c r="O137" i="1"/>
  <c r="M137" i="1"/>
  <c r="K137" i="1"/>
  <c r="I137" i="1"/>
  <c r="G137" i="1"/>
  <c r="E137" i="1"/>
  <c r="S136" i="1"/>
  <c r="Q136" i="1"/>
  <c r="U136" i="1" s="1"/>
  <c r="V136" i="1" s="1"/>
  <c r="O136" i="1"/>
  <c r="M136" i="1"/>
  <c r="K136" i="1"/>
  <c r="I136" i="1"/>
  <c r="G136" i="1"/>
  <c r="E136" i="1"/>
  <c r="S135" i="1"/>
  <c r="Q135" i="1"/>
  <c r="U135" i="1" s="1"/>
  <c r="V135" i="1" s="1"/>
  <c r="O135" i="1"/>
  <c r="M135" i="1"/>
  <c r="K135" i="1"/>
  <c r="I135" i="1"/>
  <c r="G135" i="1"/>
  <c r="E135" i="1"/>
  <c r="S134" i="1"/>
  <c r="Q134" i="1"/>
  <c r="U134" i="1" s="1"/>
  <c r="V134" i="1" s="1"/>
  <c r="O134" i="1"/>
  <c r="M134" i="1"/>
  <c r="K134" i="1"/>
  <c r="I134" i="1"/>
  <c r="G134" i="1"/>
  <c r="E134" i="1"/>
  <c r="S133" i="1"/>
  <c r="Q133" i="1"/>
  <c r="O133" i="1"/>
  <c r="M133" i="1"/>
  <c r="K133" i="1"/>
  <c r="I133" i="1"/>
  <c r="G133" i="1"/>
  <c r="E133" i="1"/>
  <c r="S132" i="1"/>
  <c r="Q132" i="1"/>
  <c r="U132" i="1" s="1"/>
  <c r="V132" i="1" s="1"/>
  <c r="O132" i="1"/>
  <c r="M132" i="1"/>
  <c r="K132" i="1"/>
  <c r="I132" i="1"/>
  <c r="G132" i="1"/>
  <c r="E132" i="1"/>
  <c r="S131" i="1"/>
  <c r="Q131" i="1"/>
  <c r="U131" i="1" s="1"/>
  <c r="V131" i="1" s="1"/>
  <c r="O131" i="1"/>
  <c r="M131" i="1"/>
  <c r="K131" i="1"/>
  <c r="I131" i="1"/>
  <c r="G131" i="1"/>
  <c r="E131" i="1"/>
  <c r="S130" i="1"/>
  <c r="Q130" i="1"/>
  <c r="U130" i="1" s="1"/>
  <c r="V130" i="1" s="1"/>
  <c r="O130" i="1"/>
  <c r="M130" i="1"/>
  <c r="K130" i="1"/>
  <c r="I130" i="1"/>
  <c r="G130" i="1"/>
  <c r="E130" i="1"/>
  <c r="S129" i="1"/>
  <c r="Q129" i="1"/>
  <c r="U129" i="1" s="1"/>
  <c r="V129" i="1" s="1"/>
  <c r="O129" i="1"/>
  <c r="M129" i="1"/>
  <c r="K129" i="1"/>
  <c r="I129" i="1"/>
  <c r="G129" i="1"/>
  <c r="E129" i="1"/>
  <c r="S128" i="1"/>
  <c r="Q128" i="1"/>
  <c r="U128" i="1" s="1"/>
  <c r="V128" i="1" s="1"/>
  <c r="O128" i="1"/>
  <c r="M128" i="1"/>
  <c r="K128" i="1"/>
  <c r="I128" i="1"/>
  <c r="G128" i="1"/>
  <c r="E128" i="1"/>
  <c r="S127" i="1"/>
  <c r="Q127" i="1"/>
  <c r="O127" i="1"/>
  <c r="M127" i="1"/>
  <c r="K127" i="1"/>
  <c r="I127" i="1"/>
  <c r="G127" i="1"/>
  <c r="E127" i="1"/>
  <c r="S126" i="1"/>
  <c r="Q126" i="1"/>
  <c r="O126" i="1"/>
  <c r="M126" i="1"/>
  <c r="K126" i="1"/>
  <c r="I126" i="1"/>
  <c r="G126" i="1"/>
  <c r="E126" i="1"/>
  <c r="S125" i="1"/>
  <c r="Q125" i="1"/>
  <c r="U125" i="1" s="1"/>
  <c r="V125" i="1" s="1"/>
  <c r="O125" i="1"/>
  <c r="M125" i="1"/>
  <c r="K125" i="1"/>
  <c r="I125" i="1"/>
  <c r="G125" i="1"/>
  <c r="E125" i="1"/>
  <c r="S124" i="1"/>
  <c r="Q124" i="1"/>
  <c r="U124" i="1" s="1"/>
  <c r="V124" i="1" s="1"/>
  <c r="O124" i="1"/>
  <c r="M124" i="1"/>
  <c r="K124" i="1"/>
  <c r="I124" i="1"/>
  <c r="G124" i="1"/>
  <c r="E124" i="1"/>
  <c r="S123" i="1"/>
  <c r="Q123" i="1"/>
  <c r="U123" i="1" s="1"/>
  <c r="V123" i="1" s="1"/>
  <c r="O123" i="1"/>
  <c r="M123" i="1"/>
  <c r="K123" i="1"/>
  <c r="I123" i="1"/>
  <c r="G123" i="1"/>
  <c r="E123" i="1"/>
  <c r="S122" i="1"/>
  <c r="Q122" i="1"/>
  <c r="U122" i="1" s="1"/>
  <c r="V122" i="1" s="1"/>
  <c r="O122" i="1"/>
  <c r="M122" i="1"/>
  <c r="K122" i="1"/>
  <c r="I122" i="1"/>
  <c r="G122" i="1"/>
  <c r="E122" i="1"/>
  <c r="S121" i="1"/>
  <c r="Q121" i="1"/>
  <c r="U121" i="1" s="1"/>
  <c r="V121" i="1" s="1"/>
  <c r="O121" i="1"/>
  <c r="M121" i="1"/>
  <c r="K121" i="1"/>
  <c r="I121" i="1"/>
  <c r="G121" i="1"/>
  <c r="E121" i="1"/>
  <c r="S120" i="1"/>
  <c r="Q120" i="1"/>
  <c r="U120" i="1" s="1"/>
  <c r="V120" i="1" s="1"/>
  <c r="O120" i="1"/>
  <c r="M120" i="1"/>
  <c r="K120" i="1"/>
  <c r="I120" i="1"/>
  <c r="G120" i="1"/>
  <c r="E120" i="1"/>
  <c r="V119" i="1"/>
  <c r="S119" i="1"/>
  <c r="Q119" i="1"/>
  <c r="U119" i="1" s="1"/>
  <c r="O119" i="1"/>
  <c r="M119" i="1"/>
  <c r="K119" i="1"/>
  <c r="I119" i="1"/>
  <c r="G119" i="1"/>
  <c r="E119" i="1"/>
  <c r="S118" i="1"/>
  <c r="Q118" i="1"/>
  <c r="O118" i="1"/>
  <c r="M118" i="1"/>
  <c r="K118" i="1"/>
  <c r="I118" i="1"/>
  <c r="G118" i="1"/>
  <c r="E118" i="1"/>
  <c r="S117" i="1"/>
  <c r="Q117" i="1"/>
  <c r="U117" i="1" s="1"/>
  <c r="V117" i="1" s="1"/>
  <c r="O117" i="1"/>
  <c r="M117" i="1"/>
  <c r="K117" i="1"/>
  <c r="I117" i="1"/>
  <c r="G117" i="1"/>
  <c r="E117" i="1"/>
  <c r="S116" i="1"/>
  <c r="Q116" i="1"/>
  <c r="U116" i="1" s="1"/>
  <c r="V116" i="1" s="1"/>
  <c r="O116" i="1"/>
  <c r="M116" i="1"/>
  <c r="K116" i="1"/>
  <c r="I116" i="1"/>
  <c r="G116" i="1"/>
  <c r="E116" i="1"/>
  <c r="S115" i="1"/>
  <c r="Q115" i="1"/>
  <c r="U115" i="1" s="1"/>
  <c r="V115" i="1" s="1"/>
  <c r="O115" i="1"/>
  <c r="M115" i="1"/>
  <c r="K115" i="1"/>
  <c r="I115" i="1"/>
  <c r="G115" i="1"/>
  <c r="E115" i="1"/>
  <c r="S114" i="1"/>
  <c r="Q114" i="1"/>
  <c r="O114" i="1"/>
  <c r="M114" i="1"/>
  <c r="K114" i="1"/>
  <c r="I114" i="1"/>
  <c r="G114" i="1"/>
  <c r="E114" i="1"/>
  <c r="V113" i="1"/>
  <c r="S113" i="1"/>
  <c r="Q113" i="1"/>
  <c r="U113" i="1" s="1"/>
  <c r="O113" i="1"/>
  <c r="M113" i="1"/>
  <c r="K113" i="1"/>
  <c r="I113" i="1"/>
  <c r="G113" i="1"/>
  <c r="E113" i="1"/>
  <c r="S112" i="1"/>
  <c r="Q112" i="1"/>
  <c r="U112" i="1" s="1"/>
  <c r="V112" i="1" s="1"/>
  <c r="O112" i="1"/>
  <c r="M112" i="1"/>
  <c r="K112" i="1"/>
  <c r="I112" i="1"/>
  <c r="G112" i="1"/>
  <c r="E112" i="1"/>
  <c r="S111" i="1"/>
  <c r="Q111" i="1"/>
  <c r="O111" i="1"/>
  <c r="M111" i="1"/>
  <c r="K111" i="1"/>
  <c r="I111" i="1"/>
  <c r="G111" i="1"/>
  <c r="E111" i="1"/>
  <c r="V110" i="1"/>
  <c r="S110" i="1"/>
  <c r="Q110" i="1"/>
  <c r="U110" i="1" s="1"/>
  <c r="O110" i="1"/>
  <c r="M110" i="1"/>
  <c r="K110" i="1"/>
  <c r="I110" i="1"/>
  <c r="G110" i="1"/>
  <c r="E110" i="1"/>
  <c r="S109" i="1"/>
  <c r="Q109" i="1"/>
  <c r="O109" i="1"/>
  <c r="M109" i="1"/>
  <c r="K109" i="1"/>
  <c r="I109" i="1"/>
  <c r="G109" i="1"/>
  <c r="E109" i="1"/>
  <c r="S108" i="1"/>
  <c r="Q108" i="1"/>
  <c r="O108" i="1"/>
  <c r="M108" i="1"/>
  <c r="K108" i="1"/>
  <c r="I108" i="1"/>
  <c r="G108" i="1"/>
  <c r="E108" i="1"/>
  <c r="S107" i="1"/>
  <c r="Q107" i="1"/>
  <c r="U107" i="1" s="1"/>
  <c r="V107" i="1" s="1"/>
  <c r="O107" i="1"/>
  <c r="M107" i="1"/>
  <c r="K107" i="1"/>
  <c r="I107" i="1"/>
  <c r="G107" i="1"/>
  <c r="E107" i="1"/>
  <c r="S106" i="1"/>
  <c r="Q106" i="1"/>
  <c r="U106" i="1" s="1"/>
  <c r="V106" i="1" s="1"/>
  <c r="O106" i="1"/>
  <c r="M106" i="1"/>
  <c r="K106" i="1"/>
  <c r="I106" i="1"/>
  <c r="G106" i="1"/>
  <c r="E106" i="1"/>
  <c r="S105" i="1"/>
  <c r="Q105" i="1"/>
  <c r="U105" i="1" s="1"/>
  <c r="V105" i="1" s="1"/>
  <c r="O105" i="1"/>
  <c r="M105" i="1"/>
  <c r="K105" i="1"/>
  <c r="I105" i="1"/>
  <c r="G105" i="1"/>
  <c r="E105" i="1"/>
  <c r="S104" i="1"/>
  <c r="Q104" i="1"/>
  <c r="U104" i="1" s="1"/>
  <c r="V104" i="1" s="1"/>
  <c r="O104" i="1"/>
  <c r="M104" i="1"/>
  <c r="K104" i="1"/>
  <c r="I104" i="1"/>
  <c r="G104" i="1"/>
  <c r="E104" i="1"/>
  <c r="S103" i="1"/>
  <c r="Q103" i="1"/>
  <c r="O103" i="1"/>
  <c r="M103" i="1"/>
  <c r="K103" i="1"/>
  <c r="I103" i="1"/>
  <c r="G103" i="1"/>
  <c r="E103" i="1"/>
  <c r="S102" i="1"/>
  <c r="Q102" i="1"/>
  <c r="U102" i="1" s="1"/>
  <c r="V102" i="1" s="1"/>
  <c r="O102" i="1"/>
  <c r="M102" i="1"/>
  <c r="K102" i="1"/>
  <c r="I102" i="1"/>
  <c r="G102" i="1"/>
  <c r="E102" i="1"/>
  <c r="S101" i="1"/>
  <c r="Q101" i="1"/>
  <c r="O101" i="1"/>
  <c r="M101" i="1"/>
  <c r="K101" i="1"/>
  <c r="I101" i="1"/>
  <c r="G101" i="1"/>
  <c r="E101" i="1"/>
  <c r="S100" i="1"/>
  <c r="Q100" i="1"/>
  <c r="O100" i="1"/>
  <c r="M100" i="1"/>
  <c r="K100" i="1"/>
  <c r="I100" i="1"/>
  <c r="G100" i="1"/>
  <c r="E100" i="1"/>
  <c r="S99" i="1"/>
  <c r="Q99" i="1"/>
  <c r="O99" i="1"/>
  <c r="M99" i="1"/>
  <c r="K99" i="1"/>
  <c r="I99" i="1"/>
  <c r="G99" i="1"/>
  <c r="E99" i="1"/>
  <c r="S98" i="1"/>
  <c r="Q98" i="1"/>
  <c r="O98" i="1"/>
  <c r="M98" i="1"/>
  <c r="K98" i="1"/>
  <c r="I98" i="1"/>
  <c r="G98" i="1"/>
  <c r="E98" i="1"/>
  <c r="S97" i="1"/>
  <c r="Q97" i="1"/>
  <c r="O97" i="1"/>
  <c r="M97" i="1"/>
  <c r="K97" i="1"/>
  <c r="I97" i="1"/>
  <c r="G97" i="1"/>
  <c r="E97" i="1"/>
  <c r="S96" i="1"/>
  <c r="Q96" i="1"/>
  <c r="O96" i="1"/>
  <c r="M96" i="1"/>
  <c r="K96" i="1"/>
  <c r="I96" i="1"/>
  <c r="G96" i="1"/>
  <c r="E96" i="1"/>
  <c r="S95" i="1"/>
  <c r="Q95" i="1"/>
  <c r="O95" i="1"/>
  <c r="M95" i="1"/>
  <c r="K95" i="1"/>
  <c r="I95" i="1"/>
  <c r="G95" i="1"/>
  <c r="E95" i="1"/>
  <c r="V94" i="1"/>
  <c r="S94" i="1"/>
  <c r="Q94" i="1"/>
  <c r="U94" i="1" s="1"/>
  <c r="O94" i="1"/>
  <c r="M94" i="1"/>
  <c r="K94" i="1"/>
  <c r="I94" i="1"/>
  <c r="G94" i="1"/>
  <c r="E94" i="1"/>
  <c r="S93" i="1"/>
  <c r="Q93" i="1"/>
  <c r="O93" i="1"/>
  <c r="M93" i="1"/>
  <c r="K93" i="1"/>
  <c r="I93" i="1"/>
  <c r="G93" i="1"/>
  <c r="E93" i="1"/>
  <c r="S92" i="1"/>
  <c r="Q92" i="1"/>
  <c r="O92" i="1"/>
  <c r="M92" i="1"/>
  <c r="K92" i="1"/>
  <c r="I92" i="1"/>
  <c r="G92" i="1"/>
  <c r="E92" i="1"/>
  <c r="S91" i="1"/>
  <c r="Q91" i="1"/>
  <c r="U91" i="1" s="1"/>
  <c r="V91" i="1" s="1"/>
  <c r="O91" i="1"/>
  <c r="M91" i="1"/>
  <c r="K91" i="1"/>
  <c r="I91" i="1"/>
  <c r="G91" i="1"/>
  <c r="E91" i="1"/>
  <c r="S90" i="1"/>
  <c r="Q90" i="1"/>
  <c r="O90" i="1"/>
  <c r="M90" i="1"/>
  <c r="K90" i="1"/>
  <c r="I90" i="1"/>
  <c r="G90" i="1"/>
  <c r="E90" i="1"/>
  <c r="S89" i="1"/>
  <c r="Q89" i="1"/>
  <c r="O89" i="1"/>
  <c r="M89" i="1"/>
  <c r="K89" i="1"/>
  <c r="I89" i="1"/>
  <c r="G89" i="1"/>
  <c r="E89" i="1"/>
  <c r="S88" i="1"/>
  <c r="Q88" i="1"/>
  <c r="U88" i="1" s="1"/>
  <c r="V88" i="1" s="1"/>
  <c r="O88" i="1"/>
  <c r="M88" i="1"/>
  <c r="K88" i="1"/>
  <c r="I88" i="1"/>
  <c r="G88" i="1"/>
  <c r="E88" i="1"/>
  <c r="S87" i="1"/>
  <c r="Q87" i="1"/>
  <c r="O87" i="1"/>
  <c r="M87" i="1"/>
  <c r="K87" i="1"/>
  <c r="I87" i="1"/>
  <c r="G87" i="1"/>
  <c r="E87" i="1"/>
  <c r="S86" i="1"/>
  <c r="Q86" i="1"/>
  <c r="O86" i="1"/>
  <c r="M86" i="1"/>
  <c r="K86" i="1"/>
  <c r="I86" i="1"/>
  <c r="G86" i="1"/>
  <c r="E86" i="1"/>
  <c r="S85" i="1"/>
  <c r="Q85" i="1"/>
  <c r="U85" i="1" s="1"/>
  <c r="V85" i="1" s="1"/>
  <c r="O85" i="1"/>
  <c r="M85" i="1"/>
  <c r="K85" i="1"/>
  <c r="I85" i="1"/>
  <c r="G85" i="1"/>
  <c r="E85" i="1"/>
  <c r="S84" i="1"/>
  <c r="Q84" i="1"/>
  <c r="O84" i="1"/>
  <c r="M84" i="1"/>
  <c r="K84" i="1"/>
  <c r="I84" i="1"/>
  <c r="G84" i="1"/>
  <c r="E84" i="1"/>
  <c r="S83" i="1"/>
  <c r="Q83" i="1"/>
  <c r="O83" i="1"/>
  <c r="M83" i="1"/>
  <c r="K83" i="1"/>
  <c r="I83" i="1"/>
  <c r="G83" i="1"/>
  <c r="E83" i="1"/>
  <c r="S82" i="1"/>
  <c r="Q82" i="1"/>
  <c r="U82" i="1" s="1"/>
  <c r="V82" i="1" s="1"/>
  <c r="O82" i="1"/>
  <c r="M82" i="1"/>
  <c r="K82" i="1"/>
  <c r="I82" i="1"/>
  <c r="G82" i="1"/>
  <c r="E82" i="1"/>
  <c r="S81" i="1"/>
  <c r="Q81" i="1"/>
  <c r="O81" i="1"/>
  <c r="M81" i="1"/>
  <c r="K81" i="1"/>
  <c r="I81" i="1"/>
  <c r="G81" i="1"/>
  <c r="E81" i="1"/>
  <c r="S80" i="1"/>
  <c r="Q80" i="1"/>
  <c r="O80" i="1"/>
  <c r="M80" i="1"/>
  <c r="K80" i="1"/>
  <c r="I80" i="1"/>
  <c r="G80" i="1"/>
  <c r="E80" i="1"/>
  <c r="S79" i="1"/>
  <c r="Q79" i="1"/>
  <c r="U79" i="1" s="1"/>
  <c r="V79" i="1" s="1"/>
  <c r="O79" i="1"/>
  <c r="M79" i="1"/>
  <c r="K79" i="1"/>
  <c r="I79" i="1"/>
  <c r="G79" i="1"/>
  <c r="E79" i="1"/>
  <c r="S78" i="1"/>
  <c r="Q78" i="1"/>
  <c r="O78" i="1"/>
  <c r="M78" i="1"/>
  <c r="K78" i="1"/>
  <c r="I78" i="1"/>
  <c r="G78" i="1"/>
  <c r="E78" i="1"/>
  <c r="S77" i="1"/>
  <c r="Q77" i="1"/>
  <c r="O77" i="1"/>
  <c r="M77" i="1"/>
  <c r="K77" i="1"/>
  <c r="I77" i="1"/>
  <c r="G77" i="1"/>
  <c r="E77" i="1"/>
  <c r="S76" i="1"/>
  <c r="Q76" i="1"/>
  <c r="U76" i="1" s="1"/>
  <c r="V76" i="1" s="1"/>
  <c r="O76" i="1"/>
  <c r="M76" i="1"/>
  <c r="K76" i="1"/>
  <c r="I76" i="1"/>
  <c r="G76" i="1"/>
  <c r="E76" i="1"/>
  <c r="S75" i="1"/>
  <c r="Q75" i="1"/>
  <c r="O75" i="1"/>
  <c r="M75" i="1"/>
  <c r="K75" i="1"/>
  <c r="I75" i="1"/>
  <c r="G75" i="1"/>
  <c r="E75" i="1"/>
  <c r="S74" i="1"/>
  <c r="Q74" i="1"/>
  <c r="O74" i="1"/>
  <c r="M74" i="1"/>
  <c r="K74" i="1"/>
  <c r="I74" i="1"/>
  <c r="G74" i="1"/>
  <c r="E74" i="1"/>
  <c r="S73" i="1"/>
  <c r="Q73" i="1"/>
  <c r="U73" i="1" s="1"/>
  <c r="V73" i="1" s="1"/>
  <c r="O73" i="1"/>
  <c r="M73" i="1"/>
  <c r="K73" i="1"/>
  <c r="I73" i="1"/>
  <c r="G73" i="1"/>
  <c r="E73" i="1"/>
  <c r="S72" i="1"/>
  <c r="Q72" i="1"/>
  <c r="O72" i="1"/>
  <c r="M72" i="1"/>
  <c r="K72" i="1"/>
  <c r="I72" i="1"/>
  <c r="G72" i="1"/>
  <c r="E72" i="1"/>
  <c r="S71" i="1"/>
  <c r="Q71" i="1"/>
  <c r="O71" i="1"/>
  <c r="M71" i="1"/>
  <c r="K71" i="1"/>
  <c r="I71" i="1"/>
  <c r="G71" i="1"/>
  <c r="E71" i="1"/>
  <c r="S70" i="1"/>
  <c r="Q70" i="1"/>
  <c r="U70" i="1" s="1"/>
  <c r="V70" i="1" s="1"/>
  <c r="O70" i="1"/>
  <c r="M70" i="1"/>
  <c r="K70" i="1"/>
  <c r="I70" i="1"/>
  <c r="G70" i="1"/>
  <c r="E70" i="1"/>
  <c r="S69" i="1"/>
  <c r="Q69" i="1"/>
  <c r="O69" i="1"/>
  <c r="M69" i="1"/>
  <c r="K69" i="1"/>
  <c r="I69" i="1"/>
  <c r="G69" i="1"/>
  <c r="E69" i="1"/>
  <c r="S68" i="1"/>
  <c r="Q68" i="1"/>
  <c r="O68" i="1"/>
  <c r="M68" i="1"/>
  <c r="K68" i="1"/>
  <c r="I68" i="1"/>
  <c r="G68" i="1"/>
  <c r="E68" i="1"/>
  <c r="S67" i="1"/>
  <c r="Q67" i="1"/>
  <c r="U67" i="1" s="1"/>
  <c r="V67" i="1" s="1"/>
  <c r="O67" i="1"/>
  <c r="M67" i="1"/>
  <c r="K67" i="1"/>
  <c r="I67" i="1"/>
  <c r="G67" i="1"/>
  <c r="E67" i="1"/>
  <c r="S66" i="1"/>
  <c r="Q66" i="1"/>
  <c r="O66" i="1"/>
  <c r="M66" i="1"/>
  <c r="K66" i="1"/>
  <c r="I66" i="1"/>
  <c r="G66" i="1"/>
  <c r="E66" i="1"/>
  <c r="S65" i="1"/>
  <c r="Q65" i="1"/>
  <c r="O65" i="1"/>
  <c r="M65" i="1"/>
  <c r="K65" i="1"/>
  <c r="I65" i="1"/>
  <c r="G65" i="1"/>
  <c r="E65" i="1"/>
  <c r="S64" i="1"/>
  <c r="Q64" i="1"/>
  <c r="U64" i="1" s="1"/>
  <c r="V64" i="1" s="1"/>
  <c r="O64" i="1"/>
  <c r="M64" i="1"/>
  <c r="K64" i="1"/>
  <c r="I64" i="1"/>
  <c r="G64" i="1"/>
  <c r="E64" i="1"/>
  <c r="S63" i="1"/>
  <c r="Q63" i="1"/>
  <c r="O63" i="1"/>
  <c r="M63" i="1"/>
  <c r="K63" i="1"/>
  <c r="I63" i="1"/>
  <c r="G63" i="1"/>
  <c r="E63" i="1"/>
  <c r="S62" i="1"/>
  <c r="Q62" i="1"/>
  <c r="O62" i="1"/>
  <c r="M62" i="1"/>
  <c r="K62" i="1"/>
  <c r="I62" i="1"/>
  <c r="G62" i="1"/>
  <c r="E62" i="1"/>
  <c r="S61" i="1"/>
  <c r="Q61" i="1"/>
  <c r="O61" i="1"/>
  <c r="M61" i="1"/>
  <c r="K61" i="1"/>
  <c r="I61" i="1"/>
  <c r="G61" i="1"/>
  <c r="E61" i="1"/>
  <c r="S60" i="1"/>
  <c r="Q60" i="1"/>
  <c r="O60" i="1"/>
  <c r="M60" i="1"/>
  <c r="K60" i="1"/>
  <c r="I60" i="1"/>
  <c r="G60" i="1"/>
  <c r="E60" i="1"/>
  <c r="S59" i="1"/>
  <c r="Q59" i="1"/>
  <c r="O59" i="1"/>
  <c r="M59" i="1"/>
  <c r="K59" i="1"/>
  <c r="I59" i="1"/>
  <c r="G59" i="1"/>
  <c r="E59" i="1"/>
  <c r="S58" i="1"/>
  <c r="Q58" i="1"/>
  <c r="O58" i="1"/>
  <c r="M58" i="1"/>
  <c r="K58" i="1"/>
  <c r="I58" i="1"/>
  <c r="G58" i="1"/>
  <c r="E58" i="1"/>
  <c r="S57" i="1"/>
  <c r="Q57" i="1"/>
  <c r="O57" i="1"/>
  <c r="M57" i="1"/>
  <c r="K57" i="1"/>
  <c r="I57" i="1"/>
  <c r="G57" i="1"/>
  <c r="E57" i="1"/>
  <c r="S56" i="1"/>
  <c r="Q56" i="1"/>
  <c r="O56" i="1"/>
  <c r="M56" i="1"/>
  <c r="K56" i="1"/>
  <c r="I56" i="1"/>
  <c r="G56" i="1"/>
  <c r="E56" i="1"/>
  <c r="S55" i="1"/>
  <c r="Q55" i="1"/>
  <c r="O55" i="1"/>
  <c r="M55" i="1"/>
  <c r="K55" i="1"/>
  <c r="I55" i="1"/>
  <c r="G55" i="1"/>
  <c r="E55" i="1"/>
  <c r="S54" i="1"/>
  <c r="Q54" i="1"/>
  <c r="O54" i="1"/>
  <c r="M54" i="1"/>
  <c r="K54" i="1"/>
  <c r="I54" i="1"/>
  <c r="G54" i="1"/>
  <c r="E54" i="1"/>
  <c r="S53" i="1"/>
  <c r="Q53" i="1"/>
  <c r="O53" i="1"/>
  <c r="M53" i="1"/>
  <c r="K53" i="1"/>
  <c r="I53" i="1"/>
  <c r="G53" i="1"/>
  <c r="E53" i="1"/>
  <c r="S52" i="1"/>
  <c r="Q52" i="1"/>
  <c r="U52" i="1" s="1"/>
  <c r="V52" i="1" s="1"/>
  <c r="O52" i="1"/>
  <c r="M52" i="1"/>
  <c r="K52" i="1"/>
  <c r="I52" i="1"/>
  <c r="G52" i="1"/>
  <c r="E52" i="1"/>
  <c r="S51" i="1"/>
  <c r="Q51" i="1"/>
  <c r="O51" i="1"/>
  <c r="M51" i="1"/>
  <c r="K51" i="1"/>
  <c r="I51" i="1"/>
  <c r="G51" i="1"/>
  <c r="E51" i="1"/>
  <c r="S50" i="1"/>
  <c r="Q50" i="1"/>
  <c r="O50" i="1"/>
  <c r="M50" i="1"/>
  <c r="K50" i="1"/>
  <c r="I50" i="1"/>
  <c r="G50" i="1"/>
  <c r="E50" i="1"/>
  <c r="S49" i="1"/>
  <c r="Q49" i="1"/>
  <c r="U49" i="1" s="1"/>
  <c r="V49" i="1" s="1"/>
  <c r="O49" i="1"/>
  <c r="M49" i="1"/>
  <c r="K49" i="1"/>
  <c r="I49" i="1"/>
  <c r="G49" i="1"/>
  <c r="E49" i="1"/>
  <c r="S48" i="1"/>
  <c r="Q48" i="1"/>
  <c r="O48" i="1"/>
  <c r="M48" i="1"/>
  <c r="K48" i="1"/>
  <c r="I48" i="1"/>
  <c r="G48" i="1"/>
  <c r="E48" i="1"/>
  <c r="S47" i="1"/>
  <c r="Q47" i="1"/>
  <c r="O47" i="1"/>
  <c r="M47" i="1"/>
  <c r="K47" i="1"/>
  <c r="I47" i="1"/>
  <c r="G47" i="1"/>
  <c r="E47" i="1"/>
  <c r="S46" i="1"/>
  <c r="Q46" i="1"/>
  <c r="O46" i="1"/>
  <c r="M46" i="1"/>
  <c r="K46" i="1"/>
  <c r="I46" i="1"/>
  <c r="G46" i="1"/>
  <c r="E46" i="1"/>
  <c r="S45" i="1"/>
  <c r="Q45" i="1"/>
  <c r="O45" i="1"/>
  <c r="M45" i="1"/>
  <c r="K45" i="1"/>
  <c r="I45" i="1"/>
  <c r="G45" i="1"/>
  <c r="E45" i="1"/>
  <c r="S44" i="1"/>
  <c r="Q44" i="1"/>
  <c r="O44" i="1"/>
  <c r="M44" i="1"/>
  <c r="K44" i="1"/>
  <c r="I44" i="1"/>
  <c r="G44" i="1"/>
  <c r="E44" i="1"/>
  <c r="S43" i="1"/>
  <c r="Q43" i="1"/>
  <c r="U43" i="1" s="1"/>
  <c r="V43" i="1" s="1"/>
  <c r="O43" i="1"/>
  <c r="M43" i="1"/>
  <c r="K43" i="1"/>
  <c r="I43" i="1"/>
  <c r="G43" i="1"/>
  <c r="E43" i="1"/>
  <c r="S42" i="1"/>
  <c r="Q42" i="1"/>
  <c r="O42" i="1"/>
  <c r="M42" i="1"/>
  <c r="K42" i="1"/>
  <c r="I42" i="1"/>
  <c r="G42" i="1"/>
  <c r="E42" i="1"/>
  <c r="S41" i="1"/>
  <c r="Q41" i="1"/>
  <c r="O41" i="1"/>
  <c r="M41" i="1"/>
  <c r="K41" i="1"/>
  <c r="I41" i="1"/>
  <c r="G41" i="1"/>
  <c r="E41" i="1"/>
  <c r="S40" i="1"/>
  <c r="Q40" i="1"/>
  <c r="U40" i="1" s="1"/>
  <c r="V40" i="1" s="1"/>
  <c r="O40" i="1"/>
  <c r="M40" i="1"/>
  <c r="K40" i="1"/>
  <c r="I40" i="1"/>
  <c r="G40" i="1"/>
  <c r="E40" i="1"/>
  <c r="S39" i="1"/>
  <c r="Q39" i="1"/>
  <c r="O39" i="1"/>
  <c r="M39" i="1"/>
  <c r="K39" i="1"/>
  <c r="I39" i="1"/>
  <c r="G39" i="1"/>
  <c r="E39" i="1"/>
  <c r="S38" i="1"/>
  <c r="Q38" i="1"/>
  <c r="O38" i="1"/>
  <c r="M38" i="1"/>
  <c r="K38" i="1"/>
  <c r="I38" i="1"/>
  <c r="G38" i="1"/>
  <c r="E38" i="1"/>
  <c r="S37" i="1"/>
  <c r="Q37" i="1"/>
  <c r="O37" i="1"/>
  <c r="M37" i="1"/>
  <c r="K37" i="1"/>
  <c r="I37" i="1"/>
  <c r="G37" i="1"/>
  <c r="E37" i="1"/>
  <c r="S36" i="1"/>
  <c r="Q36" i="1"/>
  <c r="O36" i="1"/>
  <c r="M36" i="1"/>
  <c r="K36" i="1"/>
  <c r="I36" i="1"/>
  <c r="G36" i="1"/>
  <c r="E36" i="1"/>
  <c r="S35" i="1"/>
  <c r="Q35" i="1"/>
  <c r="O35" i="1"/>
  <c r="M35" i="1"/>
  <c r="K35" i="1"/>
  <c r="I35" i="1"/>
  <c r="G35" i="1"/>
  <c r="E35" i="1"/>
  <c r="S34" i="1"/>
  <c r="Q34" i="1"/>
  <c r="O34" i="1"/>
  <c r="M34" i="1"/>
  <c r="K34" i="1"/>
  <c r="I34" i="1"/>
  <c r="G34" i="1"/>
  <c r="E34" i="1"/>
  <c r="S33" i="1"/>
  <c r="Q33" i="1"/>
  <c r="O33" i="1"/>
  <c r="M33" i="1"/>
  <c r="K33" i="1"/>
  <c r="I33" i="1"/>
  <c r="G33" i="1"/>
  <c r="E33" i="1"/>
  <c r="S32" i="1"/>
  <c r="Q32" i="1"/>
  <c r="O32" i="1"/>
  <c r="M32" i="1"/>
  <c r="K32" i="1"/>
  <c r="I32" i="1"/>
  <c r="G32" i="1"/>
  <c r="E32" i="1"/>
  <c r="S31" i="1"/>
  <c r="Q31" i="1"/>
  <c r="O31" i="1"/>
  <c r="M31" i="1"/>
  <c r="K31" i="1"/>
  <c r="I31" i="1"/>
  <c r="G31" i="1"/>
  <c r="E31" i="1"/>
  <c r="S30" i="1"/>
  <c r="Q30" i="1"/>
  <c r="O30" i="1"/>
  <c r="M30" i="1"/>
  <c r="K30" i="1"/>
  <c r="I30" i="1"/>
  <c r="G30" i="1"/>
  <c r="E30" i="1"/>
  <c r="S29" i="1"/>
  <c r="Q29" i="1"/>
  <c r="O29" i="1"/>
  <c r="M29" i="1"/>
  <c r="K29" i="1"/>
  <c r="I29" i="1"/>
  <c r="G29" i="1"/>
  <c r="E29" i="1"/>
  <c r="S28" i="1"/>
  <c r="Q28" i="1"/>
  <c r="O28" i="1"/>
  <c r="M28" i="1"/>
  <c r="K28" i="1"/>
  <c r="I28" i="1"/>
  <c r="G28" i="1"/>
  <c r="E28" i="1"/>
  <c r="S27" i="1"/>
  <c r="Q27" i="1"/>
  <c r="O27" i="1"/>
  <c r="M27" i="1"/>
  <c r="K27" i="1"/>
  <c r="I27" i="1"/>
  <c r="G27" i="1"/>
  <c r="E27" i="1"/>
  <c r="S26" i="1"/>
  <c r="Q26" i="1"/>
  <c r="O26" i="1"/>
  <c r="M26" i="1"/>
  <c r="K26" i="1"/>
  <c r="I26" i="1"/>
  <c r="G26" i="1"/>
  <c r="E26" i="1"/>
  <c r="S25" i="1"/>
  <c r="Q25" i="1"/>
  <c r="U25" i="1" s="1"/>
  <c r="V25" i="1" s="1"/>
  <c r="O25" i="1"/>
  <c r="M25" i="1"/>
  <c r="K25" i="1"/>
  <c r="I25" i="1"/>
  <c r="G25" i="1"/>
  <c r="E25" i="1"/>
  <c r="S24" i="1"/>
  <c r="Q24" i="1"/>
  <c r="O24" i="1"/>
  <c r="M24" i="1"/>
  <c r="K24" i="1"/>
  <c r="I24" i="1"/>
  <c r="G24" i="1"/>
  <c r="E24" i="1"/>
  <c r="S23" i="1"/>
  <c r="Q23" i="1"/>
  <c r="O23" i="1"/>
  <c r="M23" i="1"/>
  <c r="K23" i="1"/>
  <c r="I23" i="1"/>
  <c r="G23" i="1"/>
  <c r="E23" i="1"/>
  <c r="S22" i="1"/>
  <c r="Q22" i="1"/>
  <c r="U22" i="1" s="1"/>
  <c r="V22" i="1" s="1"/>
  <c r="O22" i="1"/>
  <c r="M22" i="1"/>
  <c r="K22" i="1"/>
  <c r="I22" i="1"/>
  <c r="G22" i="1"/>
  <c r="E22" i="1"/>
  <c r="S21" i="1"/>
  <c r="Q21" i="1"/>
  <c r="O21" i="1"/>
  <c r="M21" i="1"/>
  <c r="K21" i="1"/>
  <c r="I21" i="1"/>
  <c r="G21" i="1"/>
  <c r="E21" i="1"/>
  <c r="S20" i="1"/>
  <c r="Q20" i="1"/>
  <c r="O20" i="1"/>
  <c r="M20" i="1"/>
  <c r="K20" i="1"/>
  <c r="I20" i="1"/>
  <c r="G20" i="1"/>
  <c r="E20" i="1"/>
  <c r="S19" i="1"/>
  <c r="Q19" i="1"/>
  <c r="O19" i="1"/>
  <c r="M19" i="1"/>
  <c r="K19" i="1"/>
  <c r="I19" i="1"/>
  <c r="G19" i="1"/>
  <c r="E19" i="1"/>
  <c r="S18" i="1"/>
  <c r="Q18" i="1"/>
  <c r="O18" i="1"/>
  <c r="M18" i="1"/>
  <c r="K18" i="1"/>
  <c r="I18" i="1"/>
  <c r="G18" i="1"/>
  <c r="E18" i="1"/>
  <c r="S17" i="1"/>
  <c r="Q17" i="1"/>
  <c r="O17" i="1"/>
  <c r="M17" i="1"/>
  <c r="K17" i="1"/>
  <c r="I17" i="1"/>
  <c r="G17" i="1"/>
  <c r="E17" i="1"/>
  <c r="S16" i="1"/>
  <c r="Q16" i="1"/>
  <c r="O16" i="1"/>
  <c r="M16" i="1"/>
  <c r="K16" i="1"/>
  <c r="I16" i="1"/>
  <c r="G16" i="1"/>
  <c r="E16" i="1"/>
  <c r="S15" i="1"/>
  <c r="Q15" i="1"/>
  <c r="O15" i="1"/>
  <c r="M15" i="1"/>
  <c r="K15" i="1"/>
  <c r="I15" i="1"/>
  <c r="G15" i="1"/>
  <c r="E15" i="1"/>
  <c r="S14" i="1"/>
  <c r="Q14" i="1"/>
  <c r="O14" i="1"/>
  <c r="M14" i="1"/>
  <c r="K14" i="1"/>
  <c r="I14" i="1"/>
  <c r="G14" i="1"/>
  <c r="E14" i="1"/>
  <c r="S13" i="1"/>
  <c r="Q13" i="1"/>
  <c r="U13" i="1" s="1"/>
  <c r="V13" i="1" s="1"/>
  <c r="O13" i="1"/>
  <c r="M13" i="1"/>
  <c r="K13" i="1"/>
  <c r="I13" i="1"/>
  <c r="G13" i="1"/>
  <c r="E13" i="1"/>
  <c r="S12" i="1"/>
  <c r="Q12" i="1"/>
  <c r="O12" i="1"/>
  <c r="M12" i="1"/>
  <c r="K12" i="1"/>
  <c r="I12" i="1"/>
  <c r="G12" i="1"/>
  <c r="E12" i="1"/>
  <c r="S11" i="1"/>
  <c r="Q11" i="1"/>
  <c r="O11" i="1"/>
  <c r="M11" i="1"/>
  <c r="K11" i="1"/>
  <c r="I11" i="1"/>
  <c r="G11" i="1"/>
  <c r="E11" i="1"/>
  <c r="S10" i="1"/>
  <c r="Q10" i="1"/>
  <c r="O10" i="1"/>
  <c r="M10" i="1"/>
  <c r="K10" i="1"/>
  <c r="I10" i="1"/>
  <c r="G10" i="1"/>
  <c r="E10" i="1"/>
  <c r="S9" i="1"/>
  <c r="Q9" i="1"/>
  <c r="O9" i="1"/>
  <c r="M9" i="1"/>
  <c r="K9" i="1"/>
  <c r="I9" i="1"/>
  <c r="G9" i="1"/>
  <c r="E9" i="1"/>
  <c r="S8" i="1"/>
  <c r="U8" i="1" s="1"/>
  <c r="V8" i="1" s="1"/>
  <c r="Q8" i="1"/>
  <c r="O8" i="1"/>
  <c r="M8" i="1"/>
  <c r="K8" i="1"/>
  <c r="I8" i="1"/>
  <c r="G8" i="1"/>
  <c r="E8" i="1"/>
  <c r="S7" i="1"/>
  <c r="U7" i="1" s="1"/>
  <c r="V7" i="1" s="1"/>
  <c r="Q7" i="1"/>
  <c r="O7" i="1"/>
  <c r="M7" i="1"/>
  <c r="K7" i="1"/>
  <c r="I7" i="1"/>
  <c r="G7" i="1"/>
  <c r="E7" i="1"/>
  <c r="S6" i="1"/>
  <c r="Q6" i="1"/>
  <c r="O6" i="1"/>
  <c r="M6" i="1"/>
  <c r="K6" i="1"/>
  <c r="I6" i="1"/>
  <c r="G6" i="1"/>
  <c r="E6" i="1"/>
  <c r="S5" i="1"/>
  <c r="Q5" i="1"/>
  <c r="O5" i="1"/>
  <c r="M5" i="1"/>
  <c r="U5" i="1" s="1"/>
  <c r="V5" i="1" s="1"/>
  <c r="K5" i="1"/>
  <c r="I5" i="1"/>
  <c r="G5" i="1"/>
  <c r="E5" i="1"/>
  <c r="U4" i="1"/>
  <c r="V4" i="1" s="1"/>
  <c r="S4" i="1"/>
  <c r="Q4" i="1"/>
  <c r="O4" i="1"/>
  <c r="M4" i="1"/>
  <c r="K4" i="1"/>
  <c r="I4" i="1"/>
  <c r="G4" i="1"/>
  <c r="E4" i="1"/>
  <c r="S3" i="1"/>
  <c r="U3" i="1" s="1"/>
  <c r="V3" i="1" s="1"/>
  <c r="Q3" i="1"/>
  <c r="O3" i="1"/>
  <c r="M3" i="1"/>
  <c r="K3" i="1"/>
  <c r="I3" i="1"/>
  <c r="G3" i="1"/>
  <c r="E3" i="1"/>
  <c r="S2" i="1"/>
  <c r="Q2" i="1"/>
  <c r="O2" i="1"/>
  <c r="M2" i="1"/>
  <c r="K2" i="1"/>
  <c r="I2" i="1"/>
  <c r="G2" i="1"/>
  <c r="E2" i="1"/>
  <c r="U10" i="1" l="1"/>
  <c r="V10" i="1" s="1"/>
  <c r="U19" i="1"/>
  <c r="V19" i="1" s="1"/>
  <c r="U37" i="1"/>
  <c r="V37" i="1" s="1"/>
  <c r="U55" i="1"/>
  <c r="V55" i="1" s="1"/>
  <c r="U96" i="1"/>
  <c r="V96" i="1" s="1"/>
  <c r="U99" i="1"/>
  <c r="V99" i="1" s="1"/>
  <c r="U6" i="1"/>
  <c r="V6" i="1" s="1"/>
  <c r="U93" i="1"/>
  <c r="V93" i="1" s="1"/>
  <c r="U109" i="1"/>
  <c r="V109" i="1" s="1"/>
  <c r="U127" i="1"/>
  <c r="V127" i="1" s="1"/>
  <c r="U139" i="1"/>
  <c r="V139" i="1" s="1"/>
  <c r="U151" i="1"/>
  <c r="V151" i="1" s="1"/>
  <c r="U163" i="1"/>
  <c r="V163" i="1" s="1"/>
  <c r="U175" i="1"/>
  <c r="V175" i="1" s="1"/>
  <c r="U187" i="1"/>
  <c r="V187" i="1" s="1"/>
  <c r="U199" i="1"/>
  <c r="V199" i="1" s="1"/>
  <c r="U211" i="1"/>
  <c r="V211" i="1" s="1"/>
  <c r="U223" i="1"/>
  <c r="V223" i="1" s="1"/>
  <c r="U9" i="1"/>
  <c r="V9" i="1" s="1"/>
  <c r="U21" i="1"/>
  <c r="V21" i="1" s="1"/>
  <c r="U24" i="1"/>
  <c r="V24" i="1" s="1"/>
  <c r="U27" i="1"/>
  <c r="V27" i="1" s="1"/>
  <c r="U33" i="1"/>
  <c r="V33" i="1" s="1"/>
  <c r="U36" i="1"/>
  <c r="V36" i="1" s="1"/>
  <c r="U39" i="1"/>
  <c r="V39" i="1" s="1"/>
  <c r="U42" i="1"/>
  <c r="V42" i="1" s="1"/>
  <c r="U45" i="1"/>
  <c r="V45" i="1" s="1"/>
  <c r="U48" i="1"/>
  <c r="V48" i="1" s="1"/>
  <c r="U51" i="1"/>
  <c r="V51" i="1" s="1"/>
  <c r="U57" i="1"/>
  <c r="V57" i="1" s="1"/>
  <c r="U60" i="1"/>
  <c r="V60" i="1" s="1"/>
  <c r="U66" i="1"/>
  <c r="V66" i="1" s="1"/>
  <c r="U72" i="1"/>
  <c r="V72" i="1" s="1"/>
  <c r="U75" i="1"/>
  <c r="V75" i="1" s="1"/>
  <c r="U81" i="1"/>
  <c r="V81" i="1" s="1"/>
  <c r="U84" i="1"/>
  <c r="V84" i="1" s="1"/>
  <c r="U87" i="1"/>
  <c r="V87" i="1" s="1"/>
  <c r="U90" i="1"/>
  <c r="V90" i="1" s="1"/>
  <c r="U101" i="1"/>
  <c r="V101" i="1" s="1"/>
  <c r="U114" i="1"/>
  <c r="V114" i="1" s="1"/>
  <c r="U31" i="1"/>
  <c r="V31" i="1" s="1"/>
  <c r="U58" i="1"/>
  <c r="V58" i="1" s="1"/>
  <c r="U2" i="1"/>
  <c r="V2" i="1" s="1"/>
  <c r="U12" i="1"/>
  <c r="V12" i="1" s="1"/>
  <c r="U15" i="1"/>
  <c r="V15" i="1" s="1"/>
  <c r="U18" i="1"/>
  <c r="V18" i="1" s="1"/>
  <c r="U30" i="1"/>
  <c r="V30" i="1" s="1"/>
  <c r="U54" i="1"/>
  <c r="V54" i="1" s="1"/>
  <c r="U63" i="1"/>
  <c r="V63" i="1" s="1"/>
  <c r="U69" i="1"/>
  <c r="V69" i="1" s="1"/>
  <c r="U78" i="1"/>
  <c r="V78" i="1" s="1"/>
  <c r="U98" i="1"/>
  <c r="V98" i="1" s="1"/>
  <c r="U16" i="1"/>
  <c r="V16" i="1" s="1"/>
  <c r="U111" i="1"/>
  <c r="V111" i="1" s="1"/>
  <c r="U28" i="1"/>
  <c r="V28" i="1" s="1"/>
  <c r="U34" i="1"/>
  <c r="V34" i="1" s="1"/>
  <c r="U61" i="1"/>
  <c r="V61" i="1" s="1"/>
  <c r="U92" i="1"/>
  <c r="V92" i="1" s="1"/>
  <c r="U95" i="1"/>
  <c r="V95" i="1" s="1"/>
  <c r="U11" i="1"/>
  <c r="V11" i="1" s="1"/>
  <c r="U20" i="1"/>
  <c r="V20" i="1" s="1"/>
  <c r="U23" i="1"/>
  <c r="V23" i="1" s="1"/>
  <c r="U29" i="1"/>
  <c r="V29" i="1" s="1"/>
  <c r="U38" i="1"/>
  <c r="V38" i="1" s="1"/>
  <c r="U44" i="1"/>
  <c r="V44" i="1" s="1"/>
  <c r="U47" i="1"/>
  <c r="V47" i="1" s="1"/>
  <c r="U62" i="1"/>
  <c r="V62" i="1" s="1"/>
  <c r="U68" i="1"/>
  <c r="V68" i="1" s="1"/>
  <c r="U77" i="1"/>
  <c r="V77" i="1" s="1"/>
  <c r="U80" i="1"/>
  <c r="V80" i="1" s="1"/>
  <c r="U83" i="1"/>
  <c r="V83" i="1" s="1"/>
  <c r="U86" i="1"/>
  <c r="V86" i="1" s="1"/>
  <c r="U89" i="1"/>
  <c r="V89" i="1" s="1"/>
  <c r="U100" i="1"/>
  <c r="V100" i="1" s="1"/>
  <c r="U108" i="1"/>
  <c r="V108" i="1" s="1"/>
  <c r="U126" i="1"/>
  <c r="V126" i="1" s="1"/>
  <c r="U227" i="1"/>
  <c r="V227" i="1" s="1"/>
  <c r="U46" i="1"/>
  <c r="V46" i="1" s="1"/>
  <c r="U14" i="1"/>
  <c r="V14" i="1" s="1"/>
  <c r="U17" i="1"/>
  <c r="V17" i="1" s="1"/>
  <c r="U26" i="1"/>
  <c r="V26" i="1" s="1"/>
  <c r="U32" i="1"/>
  <c r="V32" i="1" s="1"/>
  <c r="U35" i="1"/>
  <c r="V35" i="1" s="1"/>
  <c r="U41" i="1"/>
  <c r="V41" i="1" s="1"/>
  <c r="U50" i="1"/>
  <c r="V50" i="1" s="1"/>
  <c r="U53" i="1"/>
  <c r="V53" i="1" s="1"/>
  <c r="U56" i="1"/>
  <c r="V56" i="1" s="1"/>
  <c r="U59" i="1"/>
  <c r="V59" i="1" s="1"/>
  <c r="U65" i="1"/>
  <c r="V65" i="1" s="1"/>
  <c r="U71" i="1"/>
  <c r="V71" i="1" s="1"/>
  <c r="U74" i="1"/>
  <c r="V74" i="1" s="1"/>
  <c r="U97" i="1"/>
  <c r="V97" i="1" s="1"/>
  <c r="U118" i="1"/>
  <c r="V118" i="1" s="1"/>
  <c r="U133" i="1"/>
  <c r="V133" i="1" s="1"/>
  <c r="U145" i="1"/>
  <c r="V145" i="1" s="1"/>
  <c r="U157" i="1"/>
  <c r="V157" i="1" s="1"/>
  <c r="U169" i="1"/>
  <c r="V169" i="1" s="1"/>
  <c r="U181" i="1"/>
  <c r="V181" i="1" s="1"/>
  <c r="U193" i="1"/>
  <c r="V193" i="1" s="1"/>
  <c r="U205" i="1"/>
  <c r="V205" i="1" s="1"/>
  <c r="U217" i="1"/>
  <c r="V217" i="1" s="1"/>
  <c r="U229" i="1"/>
  <c r="V229" i="1" s="1"/>
  <c r="U232" i="1"/>
  <c r="V232" i="1" s="1"/>
  <c r="U235" i="1"/>
  <c r="V235" i="1" s="1"/>
  <c r="U238" i="1"/>
  <c r="V238" i="1" s="1"/>
  <c r="U241" i="1"/>
  <c r="V241" i="1" s="1"/>
  <c r="U244" i="1"/>
  <c r="V244" i="1" s="1"/>
  <c r="U247" i="1"/>
  <c r="V247" i="1" s="1"/>
  <c r="U250" i="1"/>
  <c r="V250" i="1" s="1"/>
  <c r="U253" i="1"/>
  <c r="V253" i="1" s="1"/>
  <c r="U256" i="1"/>
  <c r="V256" i="1" s="1"/>
  <c r="U259" i="1"/>
  <c r="V259" i="1" s="1"/>
  <c r="U268" i="1"/>
  <c r="V268" i="1" s="1"/>
  <c r="U271" i="1"/>
  <c r="V271" i="1" s="1"/>
  <c r="U277" i="1"/>
  <c r="V277" i="1" s="1"/>
  <c r="U280" i="1"/>
  <c r="V280" i="1" s="1"/>
  <c r="U283" i="1"/>
  <c r="V283" i="1" s="1"/>
  <c r="U289" i="1"/>
  <c r="V289" i="1" s="1"/>
  <c r="U292" i="1"/>
  <c r="V292" i="1" s="1"/>
  <c r="U295" i="1"/>
  <c r="V295" i="1" s="1"/>
  <c r="U301" i="1"/>
  <c r="V301" i="1" s="1"/>
  <c r="U304" i="1"/>
  <c r="V304" i="1" s="1"/>
  <c r="U307" i="1"/>
  <c r="V307" i="1" s="1"/>
  <c r="U313" i="1"/>
  <c r="V313" i="1" s="1"/>
  <c r="U316" i="1"/>
  <c r="V316" i="1" s="1"/>
  <c r="U319" i="1"/>
  <c r="V319" i="1" s="1"/>
  <c r="U325" i="1"/>
  <c r="V325" i="1" s="1"/>
  <c r="U328" i="1"/>
  <c r="V328" i="1" s="1"/>
  <c r="U331" i="1"/>
  <c r="V331" i="1" s="1"/>
  <c r="U337" i="1"/>
  <c r="V337" i="1" s="1"/>
  <c r="U340" i="1"/>
  <c r="V340" i="1" s="1"/>
  <c r="U343" i="1"/>
  <c r="V343" i="1" s="1"/>
  <c r="U103" i="1"/>
  <c r="V103" i="1" s="1"/>
  <c r="U166" i="1"/>
  <c r="V166" i="1" s="1"/>
  <c r="U214" i="1"/>
  <c r="V214" i="1" s="1"/>
  <c r="U262" i="1"/>
  <c r="V262" i="1" s="1"/>
  <c r="U265" i="1"/>
  <c r="V265" i="1" s="1"/>
  <c r="U274" i="1"/>
  <c r="V274" i="1" s="1"/>
  <c r="U286" i="1"/>
  <c r="V286" i="1" s="1"/>
  <c r="U298" i="1"/>
  <c r="V298" i="1" s="1"/>
  <c r="U310" i="1"/>
  <c r="V310" i="1" s="1"/>
  <c r="U322" i="1"/>
  <c r="V322" i="1" s="1"/>
  <c r="U334" i="1"/>
  <c r="V334" i="1" s="1"/>
  <c r="U345" i="1"/>
  <c r="V345" i="1" s="1"/>
  <c r="U315" i="1"/>
  <c r="V315" i="1" s="1"/>
  <c r="U321" i="1"/>
  <c r="V321" i="1" s="1"/>
  <c r="U324" i="1"/>
  <c r="V324" i="1" s="1"/>
  <c r="U327" i="1"/>
  <c r="V327" i="1" s="1"/>
  <c r="U333" i="1"/>
  <c r="V333" i="1" s="1"/>
  <c r="U336" i="1"/>
  <c r="V336" i="1" s="1"/>
  <c r="U339" i="1"/>
  <c r="V339" i="1" s="1"/>
  <c r="U186" i="1"/>
  <c r="V186" i="1" s="1"/>
  <c r="U222" i="1"/>
  <c r="V222" i="1" s="1"/>
  <c r="U246" i="1"/>
  <c r="V246" i="1" s="1"/>
  <c r="U270" i="1"/>
  <c r="V270" i="1" s="1"/>
  <c r="U282" i="1"/>
  <c r="V282" i="1" s="1"/>
  <c r="U291" i="1"/>
  <c r="V291" i="1" s="1"/>
  <c r="U294" i="1"/>
  <c r="V294" i="1" s="1"/>
  <c r="U306" i="1"/>
  <c r="V306" i="1" s="1"/>
  <c r="U318" i="1"/>
  <c r="V318" i="1" s="1"/>
  <c r="U330" i="1"/>
  <c r="V330" i="1" s="1"/>
  <c r="U342" i="1"/>
  <c r="V342" i="1" s="1"/>
</calcChain>
</file>

<file path=xl/sharedStrings.xml><?xml version="1.0" encoding="utf-8"?>
<sst xmlns="http://schemas.openxmlformats.org/spreadsheetml/2006/main" count="1425" uniqueCount="769">
  <si>
    <t>Comuna</t>
  </si>
  <si>
    <t>COMUNA</t>
  </si>
  <si>
    <t>Región</t>
  </si>
  <si>
    <t>Jara</t>
  </si>
  <si>
    <t>jara_n</t>
  </si>
  <si>
    <t>Kast</t>
  </si>
  <si>
    <t>kast_n</t>
  </si>
  <si>
    <t>Parisi</t>
  </si>
  <si>
    <t>parisi_n</t>
  </si>
  <si>
    <t>Kaiser</t>
  </si>
  <si>
    <t>kaiser_n</t>
  </si>
  <si>
    <t>Mathei</t>
  </si>
  <si>
    <t>mathei_n</t>
  </si>
  <si>
    <t>HMN</t>
  </si>
  <si>
    <t>hmn_n</t>
  </si>
  <si>
    <t>MEO</t>
  </si>
  <si>
    <t>meo_n</t>
  </si>
  <si>
    <t>ARTES</t>
  </si>
  <si>
    <t>artes_n</t>
  </si>
  <si>
    <t>REGION</t>
  </si>
  <si>
    <t>suma</t>
  </si>
  <si>
    <t>diferencia</t>
  </si>
  <si>
    <t>Electores en padrón definitivo nov 25</t>
  </si>
  <si>
    <t>Cantidad de Mujeres</t>
  </si>
  <si>
    <t>Cantidad de Hombres</t>
  </si>
  <si>
    <t>Edad 18-19</t>
  </si>
  <si>
    <t>Edad 20-29</t>
  </si>
  <si>
    <t>Edad 30-39</t>
  </si>
  <si>
    <t>Edad 40-49</t>
  </si>
  <si>
    <t>Edad 50-59</t>
  </si>
  <si>
    <t>Edad 60-69</t>
  </si>
  <si>
    <t>Edad 70-79</t>
  </si>
  <si>
    <t>Edad 80-89</t>
  </si>
  <si>
    <t>90 o más</t>
  </si>
  <si>
    <t>mujeres_p</t>
  </si>
  <si>
    <t>hombres_p</t>
  </si>
  <si>
    <t>Edad 18-19_p</t>
  </si>
  <si>
    <t>Edad 20-29_p</t>
  </si>
  <si>
    <t>Edad 30-39_p</t>
  </si>
  <si>
    <t>Edad 40-49_p</t>
  </si>
  <si>
    <t>Edad 50-59_p</t>
  </si>
  <si>
    <t>Edad 60-69_p</t>
  </si>
  <si>
    <t>Edad 70-79_p</t>
  </si>
  <si>
    <t>Edad 80-89_p</t>
  </si>
  <si>
    <t>90 o más_p</t>
  </si>
  <si>
    <t>Ollagüe</t>
  </si>
  <si>
    <t>OLLAGUE</t>
  </si>
  <si>
    <t>II</t>
  </si>
  <si>
    <t>DE ANTOFAGASTA</t>
  </si>
  <si>
    <t>Colchane</t>
  </si>
  <si>
    <t>COLCHANE</t>
  </si>
  <si>
    <t>I</t>
  </si>
  <si>
    <t>DE TARAPACA</t>
  </si>
  <si>
    <t>General Lagos</t>
  </si>
  <si>
    <t>GENERAL LAGOS</t>
  </si>
  <si>
    <t>XV</t>
  </si>
  <si>
    <t>DE ARICA Y PARINACOTA</t>
  </si>
  <si>
    <t>María Elena</t>
  </si>
  <si>
    <t>MARIA ELENA</t>
  </si>
  <si>
    <t>Alto del Carmen</t>
  </si>
  <si>
    <t>ALTO DEL CARMEN</t>
  </si>
  <si>
    <t>III</t>
  </si>
  <si>
    <t>DE ATACAMA</t>
  </si>
  <si>
    <t>Camiña</t>
  </si>
  <si>
    <t>CAMINA</t>
  </si>
  <si>
    <t>Alto Hospicio</t>
  </si>
  <si>
    <t>ALTO HOSPICIO</t>
  </si>
  <si>
    <t>Tierra Amarilla</t>
  </si>
  <si>
    <t>TIERRA AMARILLA</t>
  </si>
  <si>
    <t>Sierra Gorda</t>
  </si>
  <si>
    <t>SIERRA GORDA</t>
  </si>
  <si>
    <t>Pozo Almonte</t>
  </si>
  <si>
    <t>POZO ALMONTE</t>
  </si>
  <si>
    <t>Punitaqui</t>
  </si>
  <si>
    <t>PUNITAQUI</t>
  </si>
  <si>
    <t>IV</t>
  </si>
  <si>
    <t>DE COQUIMBO</t>
  </si>
  <si>
    <t>Tocopilla</t>
  </si>
  <si>
    <t>TOCOPILLA</t>
  </si>
  <si>
    <t>Alto Biobío</t>
  </si>
  <si>
    <t>ALTO BIOBIO</t>
  </si>
  <si>
    <t>VIII</t>
  </si>
  <si>
    <t>DEL BIOBIO</t>
  </si>
  <si>
    <t>Freirina</t>
  </si>
  <si>
    <t>FREIRINA</t>
  </si>
  <si>
    <t>Monte Patria</t>
  </si>
  <si>
    <t>MONTE PATRIA</t>
  </si>
  <si>
    <t>Calama</t>
  </si>
  <si>
    <t>CALAMA</t>
  </si>
  <si>
    <t>Mejillones</t>
  </si>
  <si>
    <t>MEJILLONES</t>
  </si>
  <si>
    <t>Puqueldón</t>
  </si>
  <si>
    <t>PUQUELDON</t>
  </si>
  <si>
    <t>X</t>
  </si>
  <si>
    <t>DE LOS LAGOS</t>
  </si>
  <si>
    <t>Huara</t>
  </si>
  <si>
    <t>HUARA</t>
  </si>
  <si>
    <t>Taltal</t>
  </si>
  <si>
    <t>TALTAL</t>
  </si>
  <si>
    <t>Diego de Almagro</t>
  </si>
  <si>
    <t>DIEGO DE ALMAGRO</t>
  </si>
  <si>
    <t>Chañaral</t>
  </si>
  <si>
    <t>CHANARAL</t>
  </si>
  <si>
    <t>Huasco</t>
  </si>
  <si>
    <t>HUASCO</t>
  </si>
  <si>
    <t>Vallenar</t>
  </si>
  <si>
    <t>VALLENAR</t>
  </si>
  <si>
    <t>La Higuera</t>
  </si>
  <si>
    <t>LA HIGUERA</t>
  </si>
  <si>
    <t>San Pedro de Atacama</t>
  </si>
  <si>
    <t>SAN PEDRO DE ATACAMA</t>
  </si>
  <si>
    <t>Catemu</t>
  </si>
  <si>
    <t>CATEMU</t>
  </si>
  <si>
    <t>V</t>
  </si>
  <si>
    <t>DE VALPARAISO</t>
  </si>
  <si>
    <t>Pica</t>
  </si>
  <si>
    <t>PICA</t>
  </si>
  <si>
    <t>Hualqui</t>
  </si>
  <si>
    <t>HUALQUI</t>
  </si>
  <si>
    <t>Antofagasta</t>
  </si>
  <si>
    <t>ANTOFAGASTA</t>
  </si>
  <si>
    <t>Panquehue</t>
  </si>
  <si>
    <t>PANQUEHUE</t>
  </si>
  <si>
    <t>Cabrero</t>
  </si>
  <si>
    <t>CABRERO</t>
  </si>
  <si>
    <t>Nogales</t>
  </si>
  <si>
    <t>NOGALES</t>
  </si>
  <si>
    <t>Laja</t>
  </si>
  <si>
    <t>LAJA</t>
  </si>
  <si>
    <t>Hijuelas</t>
  </si>
  <si>
    <t>HIJUELAS</t>
  </si>
  <si>
    <t>Nacimiento</t>
  </si>
  <si>
    <t>NACIMIENTO</t>
  </si>
  <si>
    <t>Ovalle</t>
  </si>
  <si>
    <t>OVALLE</t>
  </si>
  <si>
    <t>Putre</t>
  </si>
  <si>
    <t>PUTRE</t>
  </si>
  <si>
    <t>Queilén</t>
  </si>
  <si>
    <t>QUEILEN</t>
  </si>
  <si>
    <t>Renaico</t>
  </si>
  <si>
    <t>RENAICO</t>
  </si>
  <si>
    <t>IX</t>
  </si>
  <si>
    <t>DE LA ARAUCANIA</t>
  </si>
  <si>
    <t>Curanilahue</t>
  </si>
  <si>
    <t>CURANILAHUE</t>
  </si>
  <si>
    <t>Constitución</t>
  </si>
  <si>
    <t>CONSTITUCION</t>
  </si>
  <si>
    <t>VII</t>
  </si>
  <si>
    <t>DEL MAULE</t>
  </si>
  <si>
    <t>Coronel</t>
  </si>
  <si>
    <t>CORONEL</t>
  </si>
  <si>
    <t>Mulchén</t>
  </si>
  <si>
    <t>MULCHEN</t>
  </si>
  <si>
    <t>San Rosendo</t>
  </si>
  <si>
    <t>SAN ROSENDO</t>
  </si>
  <si>
    <t>Santa María</t>
  </si>
  <si>
    <t>SANTA MARIA</t>
  </si>
  <si>
    <t>Camarones</t>
  </si>
  <si>
    <t>CAMARONES</t>
  </si>
  <si>
    <t>Tucapel</t>
  </si>
  <si>
    <t>TUCAPEL</t>
  </si>
  <si>
    <t>Quellón</t>
  </si>
  <si>
    <t>QUELLON</t>
  </si>
  <si>
    <t>Río Hurtado</t>
  </si>
  <si>
    <t>RIO HURTADO</t>
  </si>
  <si>
    <t>Dalcahue</t>
  </si>
  <si>
    <t>DALCAHUE</t>
  </si>
  <si>
    <t>Lota</t>
  </si>
  <si>
    <t>LOTA</t>
  </si>
  <si>
    <t>Copiapó</t>
  </si>
  <si>
    <t>COPIAPO</t>
  </si>
  <si>
    <t>Vicuña</t>
  </si>
  <si>
    <t>VICUNA</t>
  </si>
  <si>
    <t>Chonchi</t>
  </si>
  <si>
    <t>CHONCHI</t>
  </si>
  <si>
    <t>Illapel</t>
  </si>
  <si>
    <t>ILLAPEL</t>
  </si>
  <si>
    <t>Negrete</t>
  </si>
  <si>
    <t>NEGRETE</t>
  </si>
  <si>
    <t>Caldera</t>
  </si>
  <si>
    <t>CALDERA</t>
  </si>
  <si>
    <t>Los Álamos</t>
  </si>
  <si>
    <t>LOS ALAMOS</t>
  </si>
  <si>
    <t>Calera</t>
  </si>
  <si>
    <t>CALERA</t>
  </si>
  <si>
    <t>San Esteban</t>
  </si>
  <si>
    <t>SAN ESTEBAN</t>
  </si>
  <si>
    <t>Calle Larga</t>
  </si>
  <si>
    <t>CALLE LARGA</t>
  </si>
  <si>
    <t>Cholchol</t>
  </si>
  <si>
    <t>CHOLCHOL</t>
  </si>
  <si>
    <t>Salamanca</t>
  </si>
  <si>
    <t>SALAMANCA</t>
  </si>
  <si>
    <t>Arauco</t>
  </si>
  <si>
    <t>ARAUCO</t>
  </si>
  <si>
    <t>Quinchao</t>
  </si>
  <si>
    <t>QUINCHAO</t>
  </si>
  <si>
    <t>Mariquina</t>
  </si>
  <si>
    <t>MARIQUINA</t>
  </si>
  <si>
    <t>XIV</t>
  </si>
  <si>
    <t>DE LOS RIOS</t>
  </si>
  <si>
    <t>Cabildo</t>
  </si>
  <si>
    <t>CABILDO</t>
  </si>
  <si>
    <t>Quilleco</t>
  </si>
  <si>
    <t>QUILLECO</t>
  </si>
  <si>
    <t>Yungay</t>
  </si>
  <si>
    <t>YUNGAY</t>
  </si>
  <si>
    <t>XVI</t>
  </si>
  <si>
    <t>DE ÑUBLE</t>
  </si>
  <si>
    <t>Arica</t>
  </si>
  <si>
    <t>ARICA</t>
  </si>
  <si>
    <t>Combarbalá</t>
  </si>
  <si>
    <t>COMBARBALA</t>
  </si>
  <si>
    <t>Canela</t>
  </si>
  <si>
    <t>CANELA</t>
  </si>
  <si>
    <t>Chimbarongo</t>
  </si>
  <si>
    <t>CHIMBARONGO</t>
  </si>
  <si>
    <t>VI</t>
  </si>
  <si>
    <t>DEL LIBERTADOR GENERAL BERNARDO O'HIGGINS</t>
  </si>
  <si>
    <t>Puerto Octay</t>
  </si>
  <si>
    <t>PUERTO OCTAY</t>
  </si>
  <si>
    <t>Llay-Llay</t>
  </si>
  <si>
    <t>LLAY-LLAY</t>
  </si>
  <si>
    <t>Codegua</t>
  </si>
  <si>
    <t>CODEGUA</t>
  </si>
  <si>
    <t>Yerbas Buenas</t>
  </si>
  <si>
    <t>YERBAS BUENAS</t>
  </si>
  <si>
    <t>Santa Bárbara</t>
  </si>
  <si>
    <t>SANTA BARBARA</t>
  </si>
  <si>
    <t>Galvarino</t>
  </si>
  <si>
    <t>GALVARINO</t>
  </si>
  <si>
    <t>La Pintana</t>
  </si>
  <si>
    <t>LA PINTANA</t>
  </si>
  <si>
    <t>RM</t>
  </si>
  <si>
    <t>METROPOLITANA DE SANTIAGO</t>
  </si>
  <si>
    <t>Penco</t>
  </si>
  <si>
    <t>PENCO</t>
  </si>
  <si>
    <t>San Rafael</t>
  </si>
  <si>
    <t>SAN RAFAEL</t>
  </si>
  <si>
    <t>Andacollo</t>
  </si>
  <si>
    <t>ANDACOLLO</t>
  </si>
  <si>
    <t>Petorca</t>
  </si>
  <si>
    <t>PETORCA</t>
  </si>
  <si>
    <t>Antuco</t>
  </si>
  <si>
    <t>ANTUCO</t>
  </si>
  <si>
    <t>Maule</t>
  </si>
  <si>
    <t>MAULE</t>
  </si>
  <si>
    <t>Requínoa</t>
  </si>
  <si>
    <t>REQUINOA</t>
  </si>
  <si>
    <t>Colbún</t>
  </si>
  <si>
    <t>COLBUN</t>
  </si>
  <si>
    <t>Rinconada</t>
  </si>
  <si>
    <t>RINCONADA</t>
  </si>
  <si>
    <t>Perquenco</t>
  </si>
  <si>
    <t>PERQUENCO</t>
  </si>
  <si>
    <t>Coquimbo</t>
  </si>
  <si>
    <t>COQUIMBO</t>
  </si>
  <si>
    <t>Santa Juana</t>
  </si>
  <si>
    <t>SANTA JUANA</t>
  </si>
  <si>
    <t>Quilaco</t>
  </si>
  <si>
    <t>QUILACO</t>
  </si>
  <si>
    <t>Los Ángeles</t>
  </si>
  <si>
    <t>LOS ANGELES</t>
  </si>
  <si>
    <t>Curaco de Vélez</t>
  </si>
  <si>
    <t>CURACO DE VELEZ</t>
  </si>
  <si>
    <t>San Clemente</t>
  </si>
  <si>
    <t>SAN CLEMENTE</t>
  </si>
  <si>
    <t>Putaendo</t>
  </si>
  <si>
    <t>PUTAENDO</t>
  </si>
  <si>
    <t>Coelemu</t>
  </si>
  <si>
    <t>COELEMU</t>
  </si>
  <si>
    <t>Máfil</t>
  </si>
  <si>
    <t>MAFIL</t>
  </si>
  <si>
    <t>Lebu</t>
  </si>
  <si>
    <t>LEBU</t>
  </si>
  <si>
    <t>Quemchi</t>
  </si>
  <si>
    <t>QUEMCHI</t>
  </si>
  <si>
    <t>Collipulli</t>
  </si>
  <si>
    <t>COLLIPULLI</t>
  </si>
  <si>
    <t>Pemuco</t>
  </si>
  <si>
    <t>PEMUCO</t>
  </si>
  <si>
    <t>Olivar</t>
  </si>
  <si>
    <t>OLIVAR</t>
  </si>
  <si>
    <t>Chillán Viejo</t>
  </si>
  <si>
    <t>CHILLAN VIEJO</t>
  </si>
  <si>
    <t>Padre Las Casas</t>
  </si>
  <si>
    <t>PADRE LAS CASAS</t>
  </si>
  <si>
    <t>Calbuco</t>
  </si>
  <si>
    <t>CALBUCO</t>
  </si>
  <si>
    <t>Peumo</t>
  </si>
  <si>
    <t>PEUMO</t>
  </si>
  <si>
    <t>Graneros</t>
  </si>
  <si>
    <t>GRANEROS</t>
  </si>
  <si>
    <t>Trehuaco</t>
  </si>
  <si>
    <t>TREHUACO</t>
  </si>
  <si>
    <t>Paihuano</t>
  </si>
  <si>
    <t>PAIHUANO</t>
  </si>
  <si>
    <t>San Felipe</t>
  </si>
  <si>
    <t>SAN FELIPE</t>
  </si>
  <si>
    <t>Coltauco</t>
  </si>
  <si>
    <t>COLTAUCO</t>
  </si>
  <si>
    <t>Pelarco</t>
  </si>
  <si>
    <t>PELARCO</t>
  </si>
  <si>
    <t>Mostazal</t>
  </si>
  <si>
    <t>MOSTAZAL</t>
  </si>
  <si>
    <t>San Javier</t>
  </si>
  <si>
    <t>SAN JAVIER</t>
  </si>
  <si>
    <t>Coihueco</t>
  </si>
  <si>
    <t>COIHUECO</t>
  </si>
  <si>
    <t>San Juan de la Costa</t>
  </si>
  <si>
    <t>SAN JUAN DE LA COSTA</t>
  </si>
  <si>
    <t>Florida</t>
  </si>
  <si>
    <t>FLORIDA</t>
  </si>
  <si>
    <t>Placilla</t>
  </si>
  <si>
    <t>PLACILLA</t>
  </si>
  <si>
    <t>Retiro</t>
  </si>
  <si>
    <t>RETIRO</t>
  </si>
  <si>
    <t>Rengo</t>
  </si>
  <si>
    <t>RENGO</t>
  </si>
  <si>
    <t>Teno</t>
  </si>
  <si>
    <t>TENO</t>
  </si>
  <si>
    <t>Llanquihue</t>
  </si>
  <si>
    <t>LLANQUIHUE</t>
  </si>
  <si>
    <t>Iquique</t>
  </si>
  <si>
    <t>IQUIQUE</t>
  </si>
  <si>
    <t>Hualpén</t>
  </si>
  <si>
    <t>HUALPEN</t>
  </si>
  <si>
    <t>Castro</t>
  </si>
  <si>
    <t>CASTRO</t>
  </si>
  <si>
    <t>Talcahuano</t>
  </si>
  <si>
    <t>TALCAHUANO</t>
  </si>
  <si>
    <t>Doñihue</t>
  </si>
  <si>
    <t>DONIHUE</t>
  </si>
  <si>
    <t>Quirihue</t>
  </si>
  <si>
    <t>QUIRIHUE</t>
  </si>
  <si>
    <t>Los Andes</t>
  </si>
  <si>
    <t>LOS ANDES</t>
  </si>
  <si>
    <t>Quintero</t>
  </si>
  <si>
    <t>QUINTERO</t>
  </si>
  <si>
    <t>Angol</t>
  </si>
  <si>
    <t>ANGOL</t>
  </si>
  <si>
    <t>El Monte</t>
  </si>
  <si>
    <t>EL MONTE</t>
  </si>
  <si>
    <t>Tiltil</t>
  </si>
  <si>
    <t>TILTIL</t>
  </si>
  <si>
    <t>San Pedro de la Paz</t>
  </si>
  <si>
    <t>SAN PEDRO DE LA PAZ</t>
  </si>
  <si>
    <t>Tirúa</t>
  </si>
  <si>
    <t>TIRUA</t>
  </si>
  <si>
    <t>Tomé</t>
  </si>
  <si>
    <t>TOME</t>
  </si>
  <si>
    <t>Yumbel</t>
  </si>
  <si>
    <t>YUMBEL</t>
  </si>
  <si>
    <t>San Carlos</t>
  </si>
  <si>
    <t>SAN CARLOS</t>
  </si>
  <si>
    <t>Río Claro</t>
  </si>
  <si>
    <t>RIO CLARO</t>
  </si>
  <si>
    <t>San Nicolás</t>
  </si>
  <si>
    <t>SAN NICOLAS</t>
  </si>
  <si>
    <t>Saavedra</t>
  </si>
  <si>
    <t>SAAVEDRA</t>
  </si>
  <si>
    <t>La Ligua</t>
  </si>
  <si>
    <t>LA LIGUA</t>
  </si>
  <si>
    <t>Sagrada Familia</t>
  </si>
  <si>
    <t>SAGRADA FAMILIA</t>
  </si>
  <si>
    <t>Ancud</t>
  </si>
  <si>
    <t>ANCUD</t>
  </si>
  <si>
    <t>Longaví</t>
  </si>
  <si>
    <t>LONGAVI</t>
  </si>
  <si>
    <t>Empedrado</t>
  </si>
  <si>
    <t>EMPEDRADO</t>
  </si>
  <si>
    <t>Los Lagos</t>
  </si>
  <si>
    <t>LOS LAGOS</t>
  </si>
  <si>
    <t>Los Vilos</t>
  </si>
  <si>
    <t>LOS VILOS</t>
  </si>
  <si>
    <t>Lanco</t>
  </si>
  <si>
    <t>LANCO</t>
  </si>
  <si>
    <t>Cañete</t>
  </si>
  <si>
    <t>CANETE</t>
  </si>
  <si>
    <t>Nueva Imperial</t>
  </si>
  <si>
    <t>NUEVA IMPERIAL</t>
  </si>
  <si>
    <t>Malloa</t>
  </si>
  <si>
    <t>MALLOA</t>
  </si>
  <si>
    <t>Loncoche</t>
  </si>
  <si>
    <t>LONCOCHE</t>
  </si>
  <si>
    <t>Lautaro</t>
  </si>
  <si>
    <t>LAUTARO</t>
  </si>
  <si>
    <t>Nancagua</t>
  </si>
  <si>
    <t>NANCAGUA</t>
  </si>
  <si>
    <t>San Antonio</t>
  </si>
  <si>
    <t>SAN ANTONIO</t>
  </si>
  <si>
    <t>Rancagua</t>
  </si>
  <si>
    <t>RANCAGUA</t>
  </si>
  <si>
    <t>Molina</t>
  </si>
  <si>
    <t>MOLINA</t>
  </si>
  <si>
    <t>Ñiquén</t>
  </si>
  <si>
    <t>NIQUEN</t>
  </si>
  <si>
    <t>Chiguayante</t>
  </si>
  <si>
    <t>CHIGUAYANTE</t>
  </si>
  <si>
    <t>Pichidegua</t>
  </si>
  <si>
    <t>PICHIDEGUA</t>
  </si>
  <si>
    <t>Puyehue</t>
  </si>
  <si>
    <t>PUYEHUE</t>
  </si>
  <si>
    <t>La Unión</t>
  </si>
  <si>
    <t>LA UNION</t>
  </si>
  <si>
    <t>Paillaco</t>
  </si>
  <si>
    <t>PAILLACO</t>
  </si>
  <si>
    <t>Quillota</t>
  </si>
  <si>
    <t>QUILLOTA</t>
  </si>
  <si>
    <t>Aysén</t>
  </si>
  <si>
    <t>AYSEN</t>
  </si>
  <si>
    <t>XI</t>
  </si>
  <si>
    <t>DE AYSEN DEL GENERAL CARLOS IBAÑEZ DEL CAMPO</t>
  </si>
  <si>
    <t>Río Negro</t>
  </si>
  <si>
    <t>RIO NEGRO</t>
  </si>
  <si>
    <t>Villa Alegre</t>
  </si>
  <si>
    <t>VILLA ALEGRE</t>
  </si>
  <si>
    <t>San Fabián</t>
  </si>
  <si>
    <t>SAN FABIAN</t>
  </si>
  <si>
    <t>Lampa</t>
  </si>
  <si>
    <t>LAMPA</t>
  </si>
  <si>
    <t>Quillón</t>
  </si>
  <si>
    <t>QUILLON</t>
  </si>
  <si>
    <t>Bulnes</t>
  </si>
  <si>
    <t>BULNES</t>
  </si>
  <si>
    <t>Linares</t>
  </si>
  <si>
    <t>LINARES</t>
  </si>
  <si>
    <t>Vilcún</t>
  </si>
  <si>
    <t>VILCUN</t>
  </si>
  <si>
    <t>La Serena</t>
  </si>
  <si>
    <t>LA SERENA</t>
  </si>
  <si>
    <t>Palmilla</t>
  </si>
  <si>
    <t>PALMILLA</t>
  </si>
  <si>
    <t>San Pablo</t>
  </si>
  <si>
    <t>SAN PABLO</t>
  </si>
  <si>
    <t>Purranque</t>
  </si>
  <si>
    <t>PURRANQUE</t>
  </si>
  <si>
    <t>Frutillar</t>
  </si>
  <si>
    <t>FRUTILLAR</t>
  </si>
  <si>
    <t>Freire</t>
  </si>
  <si>
    <t>FREIRE</t>
  </si>
  <si>
    <t>Panguipulli</t>
  </si>
  <si>
    <t>PANGUIPULLI</t>
  </si>
  <si>
    <t>Río Bueno</t>
  </si>
  <si>
    <t>RIO BUENO</t>
  </si>
  <si>
    <t>Alhué</t>
  </si>
  <si>
    <t>ALHUE</t>
  </si>
  <si>
    <t>Corral</t>
  </si>
  <si>
    <t>CORRAL</t>
  </si>
  <si>
    <t>Lo Espejo</t>
  </si>
  <si>
    <t>LO ESPEJO</t>
  </si>
  <si>
    <t>Ránquil</t>
  </si>
  <si>
    <t>RANQUIL</t>
  </si>
  <si>
    <t>La Cruz</t>
  </si>
  <si>
    <t>LA CRUZ</t>
  </si>
  <si>
    <t>Chépica</t>
  </si>
  <si>
    <t>CHEPICA</t>
  </si>
  <si>
    <t>Melipeuco</t>
  </si>
  <si>
    <t>MELIPEUCO</t>
  </si>
  <si>
    <t>Parral</t>
  </si>
  <si>
    <t>PARRAL</t>
  </si>
  <si>
    <t>Olmué</t>
  </si>
  <si>
    <t>OLMUE</t>
  </si>
  <si>
    <t>Purén</t>
  </si>
  <si>
    <t>PUREN</t>
  </si>
  <si>
    <t>Puchuncaví</t>
  </si>
  <si>
    <t>PUCHUNCAVI</t>
  </si>
  <si>
    <t>Traiguén</t>
  </si>
  <si>
    <t>TRAIGUEN</t>
  </si>
  <si>
    <t>Cobquecura</t>
  </si>
  <si>
    <t>COBQUECURA</t>
  </si>
  <si>
    <t>San Ignacio</t>
  </si>
  <si>
    <t>SAN IGNACIO</t>
  </si>
  <si>
    <t>Guaitecas</t>
  </si>
  <si>
    <t>GUAITECAS</t>
  </si>
  <si>
    <t>Hualaihué</t>
  </si>
  <si>
    <t>HUALAIHUE</t>
  </si>
  <si>
    <t>Lonquimay</t>
  </si>
  <si>
    <t>LONQUIMAY</t>
  </si>
  <si>
    <t>Maullín</t>
  </si>
  <si>
    <t>MAULLIN</t>
  </si>
  <si>
    <t>Osorno</t>
  </si>
  <si>
    <t>OSORNO</t>
  </si>
  <si>
    <t>Los Sauces</t>
  </si>
  <si>
    <t>LOS SAUCES</t>
  </si>
  <si>
    <t>Renca</t>
  </si>
  <si>
    <t>RENCA</t>
  </si>
  <si>
    <t>San Bernardo</t>
  </si>
  <si>
    <t>SAN BERNARDO</t>
  </si>
  <si>
    <t>Lumaco</t>
  </si>
  <si>
    <t>LUMACO</t>
  </si>
  <si>
    <t>Cunco</t>
  </si>
  <si>
    <t>CUNCO</t>
  </si>
  <si>
    <t>Romeral</t>
  </si>
  <si>
    <t>ROMERAL</t>
  </si>
  <si>
    <t>Puerto Montt</t>
  </si>
  <si>
    <t>PUERTO MONTT</t>
  </si>
  <si>
    <t>Limache</t>
  </si>
  <si>
    <t>LIMACHE</t>
  </si>
  <si>
    <t>Carahue</t>
  </si>
  <si>
    <t>CARAHUE</t>
  </si>
  <si>
    <t>San Fernando</t>
  </si>
  <si>
    <t>SAN FERNANDO</t>
  </si>
  <si>
    <t>Pelluhue</t>
  </si>
  <si>
    <t>PELLUHUE</t>
  </si>
  <si>
    <t>Fresia</t>
  </si>
  <si>
    <t>FRESIA</t>
  </si>
  <si>
    <t>Toltén</t>
  </si>
  <si>
    <t>TOLTEN</t>
  </si>
  <si>
    <t>Padre Hurtado</t>
  </si>
  <si>
    <t>PADRE HURTADO</t>
  </si>
  <si>
    <t>Cerro Navia</t>
  </si>
  <si>
    <t>CERRO NAVIA</t>
  </si>
  <si>
    <t>Chillán</t>
  </si>
  <si>
    <t>CHILLAN</t>
  </si>
  <si>
    <t>Peñaflor</t>
  </si>
  <si>
    <t>PENAFLOR</t>
  </si>
  <si>
    <t>Talca</t>
  </si>
  <si>
    <t>TALCA</t>
  </si>
  <si>
    <t>Cartagena</t>
  </si>
  <si>
    <t>CARTAGENA</t>
  </si>
  <si>
    <t>Quinta de Tilcoco</t>
  </si>
  <si>
    <t>QUINTA DE TILCOCO</t>
  </si>
  <si>
    <t>Isla de Maipo</t>
  </si>
  <si>
    <t>ISLA DE MAIPO</t>
  </si>
  <si>
    <t>Teodoro Schmidt</t>
  </si>
  <si>
    <t>TEODORO SCHMIDT</t>
  </si>
  <si>
    <t>Las Cabras</t>
  </si>
  <si>
    <t>LAS CABRAS</t>
  </si>
  <si>
    <t>Ninhue</t>
  </si>
  <si>
    <t>NINHUE</t>
  </si>
  <si>
    <t>Lolol</t>
  </si>
  <si>
    <t>LOLOL</t>
  </si>
  <si>
    <t>Licantén</t>
  </si>
  <si>
    <t>LICANTEN</t>
  </si>
  <si>
    <t>San Ramón</t>
  </si>
  <si>
    <t>SAN RAMON</t>
  </si>
  <si>
    <t>Pencahue</t>
  </si>
  <si>
    <t>PENCAHUE</t>
  </si>
  <si>
    <t>Melipilla</t>
  </si>
  <si>
    <t>MELIPILLA</t>
  </si>
  <si>
    <t>Curicó</t>
  </si>
  <si>
    <t>CURICO</t>
  </si>
  <si>
    <t>Buin</t>
  </si>
  <si>
    <t>BUIN</t>
  </si>
  <si>
    <t>Talagante</t>
  </si>
  <si>
    <t>TALAGANTE</t>
  </si>
  <si>
    <t>Contulmo</t>
  </si>
  <si>
    <t>CONTULMO</t>
  </si>
  <si>
    <t>El Bosque</t>
  </si>
  <si>
    <t>EL BOSQUE</t>
  </si>
  <si>
    <t>Rauco</t>
  </si>
  <si>
    <t>RAUCO</t>
  </si>
  <si>
    <t>El Carmen</t>
  </si>
  <si>
    <t>EL CARMEN</t>
  </si>
  <si>
    <t>Futrono</t>
  </si>
  <si>
    <t>FUTRONO</t>
  </si>
  <si>
    <t>Primavera</t>
  </si>
  <si>
    <t>PRIMAVERA</t>
  </si>
  <si>
    <t>XII</t>
  </si>
  <si>
    <t>DE MAGALLANES Y DE LA ANTARTICA CHILENA</t>
  </si>
  <si>
    <t>Coinco</t>
  </si>
  <si>
    <t>COINCO</t>
  </si>
  <si>
    <t>San Vicente</t>
  </si>
  <si>
    <t>SAN VICENTE</t>
  </si>
  <si>
    <t>Santa Cruz</t>
  </si>
  <si>
    <t>SANTA CRUZ</t>
  </si>
  <si>
    <t>Los Muermos</t>
  </si>
  <si>
    <t>LOS MUERMOS</t>
  </si>
  <si>
    <t>Quilicura</t>
  </si>
  <si>
    <t>QUILICURA</t>
  </si>
  <si>
    <t>Curarrehue</t>
  </si>
  <si>
    <t>CURARREHUE</t>
  </si>
  <si>
    <t>María Pinto</t>
  </si>
  <si>
    <t>MARIA PINTO</t>
  </si>
  <si>
    <t>La Granja</t>
  </si>
  <si>
    <t>LA GRANJA</t>
  </si>
  <si>
    <t>Gorbea</t>
  </si>
  <si>
    <t>GORBEA</t>
  </si>
  <si>
    <t>Curepto</t>
  </si>
  <si>
    <t>CUREPTO</t>
  </si>
  <si>
    <t>Ercilla</t>
  </si>
  <si>
    <t>ERCILLA</t>
  </si>
  <si>
    <t>Machalí</t>
  </si>
  <si>
    <t>MACHALI</t>
  </si>
  <si>
    <t>Porvenir</t>
  </si>
  <si>
    <t>PORVENIR</t>
  </si>
  <si>
    <t>Pinto</t>
  </si>
  <si>
    <t>PINTO</t>
  </si>
  <si>
    <t>Curacaví</t>
  </si>
  <si>
    <t>CURACAVI</t>
  </si>
  <si>
    <t>Cauquenes</t>
  </si>
  <si>
    <t>CAUQUENES</t>
  </si>
  <si>
    <t>Casablanca</t>
  </si>
  <si>
    <t>CASABLANCA</t>
  </si>
  <si>
    <t>Peralillo</t>
  </si>
  <si>
    <t>PERALILLO</t>
  </si>
  <si>
    <t>San Pedro</t>
  </si>
  <si>
    <t>SAN PEDRO</t>
  </si>
  <si>
    <t>Papudo</t>
  </si>
  <si>
    <t>PAPUDO</t>
  </si>
  <si>
    <t>Pudahuel</t>
  </si>
  <si>
    <t>PUDAHUEL</t>
  </si>
  <si>
    <t>Portezuelo</t>
  </si>
  <si>
    <t>PORTEZUELO</t>
  </si>
  <si>
    <t>Pitrufquén</t>
  </si>
  <si>
    <t>PITRUFQUEN</t>
  </si>
  <si>
    <t>Chanco</t>
  </si>
  <si>
    <t>CHANCO</t>
  </si>
  <si>
    <t>Temuco</t>
  </si>
  <si>
    <t>TEMUCO</t>
  </si>
  <si>
    <t>Victoria</t>
  </si>
  <si>
    <t>VICTORIA</t>
  </si>
  <si>
    <t>Paine</t>
  </si>
  <si>
    <t>PAINE</t>
  </si>
  <si>
    <t>Hualañé</t>
  </si>
  <si>
    <t>HUALANE</t>
  </si>
  <si>
    <t>Puente Alto</t>
  </si>
  <si>
    <t>PUENTE ALTO</t>
  </si>
  <si>
    <t>Villa Alemana</t>
  </si>
  <si>
    <t>VILLA ALEMANA</t>
  </si>
  <si>
    <t>Villarrica</t>
  </si>
  <si>
    <t>VILLARRICA</t>
  </si>
  <si>
    <t>Marchihue</t>
  </si>
  <si>
    <t>MARCHIHUE</t>
  </si>
  <si>
    <t>Lago Ranco</t>
  </si>
  <si>
    <t>LAGO RANCO</t>
  </si>
  <si>
    <t>Curacautín</t>
  </si>
  <si>
    <t>CURACAUTIN</t>
  </si>
  <si>
    <t>Lo Prado</t>
  </si>
  <si>
    <t>LO PRADO</t>
  </si>
  <si>
    <t>Valdivia</t>
  </si>
  <si>
    <t>VALDIVIA</t>
  </si>
  <si>
    <t>Cerrillos</t>
  </si>
  <si>
    <t>CERRILLOS</t>
  </si>
  <si>
    <t>Pucón</t>
  </si>
  <si>
    <t>PUCON</t>
  </si>
  <si>
    <t>Valparaíso</t>
  </si>
  <si>
    <t>VALPARAISO</t>
  </si>
  <si>
    <t>Punta Arenas</t>
  </si>
  <si>
    <t>PUNTA ARENAS</t>
  </si>
  <si>
    <t>Concepción</t>
  </si>
  <si>
    <t>CONCEPCION</t>
  </si>
  <si>
    <t>Natales</t>
  </si>
  <si>
    <t>NATALES</t>
  </si>
  <si>
    <t>Colina</t>
  </si>
  <si>
    <t>COLINA</t>
  </si>
  <si>
    <t>Quilpué</t>
  </si>
  <si>
    <t>QUILPUE</t>
  </si>
  <si>
    <t>Pumanque</t>
  </si>
  <si>
    <t>PUMANQUE</t>
  </si>
  <si>
    <t>Tortel</t>
  </si>
  <si>
    <t>TORTEL</t>
  </si>
  <si>
    <t>La Estrella</t>
  </si>
  <si>
    <t>LA ESTRELLA</t>
  </si>
  <si>
    <t>Conchalí</t>
  </si>
  <si>
    <t>CONCHALI</t>
  </si>
  <si>
    <t>Paredones</t>
  </si>
  <si>
    <t>PAREDONES</t>
  </si>
  <si>
    <t>Coyhaique</t>
  </si>
  <si>
    <t>COYHAIQUE</t>
  </si>
  <si>
    <t>Calera de Tango</t>
  </si>
  <si>
    <t>CALERA DE TANGO</t>
  </si>
  <si>
    <t>Cisnes</t>
  </si>
  <si>
    <t>CISNES</t>
  </si>
  <si>
    <t>Cochamó</t>
  </si>
  <si>
    <t>COCHAMO</t>
  </si>
  <si>
    <t>Pedro Aguirre Cerda</t>
  </si>
  <si>
    <t>PEDRO AGUIRRE CERDA</t>
  </si>
  <si>
    <t>Viña del Mar</t>
  </si>
  <si>
    <t>VINA DEL MAR</t>
  </si>
  <si>
    <t>Peñalolén</t>
  </si>
  <si>
    <t>PENALOLEN</t>
  </si>
  <si>
    <t>San José de Maipo</t>
  </si>
  <si>
    <t>SAN JOSE DE MAIPO</t>
  </si>
  <si>
    <t>Litueche</t>
  </si>
  <si>
    <t>LITUECHE</t>
  </si>
  <si>
    <t>Recoleta</t>
  </si>
  <si>
    <t>RECOLETA</t>
  </si>
  <si>
    <t>Laguna Blanca</t>
  </si>
  <si>
    <t>LAGUNA BLANCA</t>
  </si>
  <si>
    <t>El Tabo</t>
  </si>
  <si>
    <t>EL TABO</t>
  </si>
  <si>
    <t>San Joaquín</t>
  </si>
  <si>
    <t>SAN JOAQUIN</t>
  </si>
  <si>
    <t>Huechuraba</t>
  </si>
  <si>
    <t>HUECHURABA</t>
  </si>
  <si>
    <t>Vichuquén</t>
  </si>
  <si>
    <t>VICHUQUEN</t>
  </si>
  <si>
    <t>Chaitén</t>
  </si>
  <si>
    <t>CHAITEN</t>
  </si>
  <si>
    <t>Pirque</t>
  </si>
  <si>
    <t>PIRQUE</t>
  </si>
  <si>
    <t>El Quisco</t>
  </si>
  <si>
    <t>EL QUISCO</t>
  </si>
  <si>
    <t>Maipú</t>
  </si>
  <si>
    <t>MAIPU</t>
  </si>
  <si>
    <t>Pichilemu</t>
  </si>
  <si>
    <t>PICHILEMU</t>
  </si>
  <si>
    <t>Navidad</t>
  </si>
  <si>
    <t>NAVIDAD</t>
  </si>
  <si>
    <t>Puerto Varas</t>
  </si>
  <si>
    <t>PUERTO VARAS</t>
  </si>
  <si>
    <t>Torres del Paine</t>
  </si>
  <si>
    <t>TORRES DEL PAINE</t>
  </si>
  <si>
    <t>Quinta Normal</t>
  </si>
  <si>
    <t>QUINTA NORMAL</t>
  </si>
  <si>
    <t>Antártica</t>
  </si>
  <si>
    <t>ANTARTICA</t>
  </si>
  <si>
    <t>Estación Central</t>
  </si>
  <si>
    <t>ESTACION CENTRAL</t>
  </si>
  <si>
    <t>Isla de Pascua</t>
  </si>
  <si>
    <t>ISLA DE PASCUA</t>
  </si>
  <si>
    <t>Concón</t>
  </si>
  <si>
    <t>CONCON</t>
  </si>
  <si>
    <t>Cabo de Hornos</t>
  </si>
  <si>
    <t>CABO DE HORNOS</t>
  </si>
  <si>
    <t>Lago Verde</t>
  </si>
  <si>
    <t>LAGO VERDE</t>
  </si>
  <si>
    <t>Algarrobo</t>
  </si>
  <si>
    <t>ALGARROBO</t>
  </si>
  <si>
    <t>La Florida</t>
  </si>
  <si>
    <t>LA FLORIDA</t>
  </si>
  <si>
    <t>Santo Domingo</t>
  </si>
  <si>
    <t>SANTO DOMINGO</t>
  </si>
  <si>
    <t>Zapallar</t>
  </si>
  <si>
    <t>ZAPALLAR</t>
  </si>
  <si>
    <t>Independencia</t>
  </si>
  <si>
    <t>INDEPENDENCIA</t>
  </si>
  <si>
    <t>Río Ibáñez</t>
  </si>
  <si>
    <t>RIO IBANEZ</t>
  </si>
  <si>
    <t>Río Verde</t>
  </si>
  <si>
    <t>RIO VERDE</t>
  </si>
  <si>
    <t>Juan Fernández</t>
  </si>
  <si>
    <t>JUAN FERNANDEZ</t>
  </si>
  <si>
    <t>Chile Chico</t>
  </si>
  <si>
    <t>CHILE CHICO</t>
  </si>
  <si>
    <t>Cochrane</t>
  </si>
  <si>
    <t>COCHRANE</t>
  </si>
  <si>
    <t>La Cisterna</t>
  </si>
  <si>
    <t>LA CISTERNA</t>
  </si>
  <si>
    <t>San Gregorio</t>
  </si>
  <si>
    <t>SAN GREGORIO</t>
  </si>
  <si>
    <t>Futaleufú</t>
  </si>
  <si>
    <t>FUTALEUFU</t>
  </si>
  <si>
    <t>Macul</t>
  </si>
  <si>
    <t>MACUL</t>
  </si>
  <si>
    <t>Palena</t>
  </si>
  <si>
    <t>PALENA</t>
  </si>
  <si>
    <t>Timaukel</t>
  </si>
  <si>
    <t>TIMAUKEL</t>
  </si>
  <si>
    <t>O'Higgins</t>
  </si>
  <si>
    <t>O'HIGGINS</t>
  </si>
  <si>
    <t>San Miguel</t>
  </si>
  <si>
    <t>SAN MIGUEL</t>
  </si>
  <si>
    <t>Santiago</t>
  </si>
  <si>
    <t>SANTIAGO</t>
  </si>
  <si>
    <t>Lo Barnechea</t>
  </si>
  <si>
    <t>LO BARNECHEA</t>
  </si>
  <si>
    <t>La Reina</t>
  </si>
  <si>
    <t>LA REINA</t>
  </si>
  <si>
    <t>Ñuñoa</t>
  </si>
  <si>
    <t>NUNOA</t>
  </si>
  <si>
    <t>Las Condes</t>
  </si>
  <si>
    <t>LAS CONDES</t>
  </si>
  <si>
    <t>Providencia</t>
  </si>
  <si>
    <t>PROVIDENCIA</t>
  </si>
  <si>
    <t>Vitacura</t>
  </si>
  <si>
    <t>VITACURA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</si>
</sst>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 * #,##0_ ;_ * \-#,##0_ ;_ * &quot;-&quot;_ ;_ @_ 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" fontId="0" fillId="0" borderId="0" xfId="0" applyNumberFormat="1"/>
    <xf numFmtId="41" fontId="0" fillId="0" borderId="0" xfId="1" applyFont="1"/>
    <xf numFmtId="41" fontId="0" fillId="2" borderId="0" xfId="0" applyNumberFormat="1" applyFill="1"/>
    <xf numFmtId="164" fontId="0" fillId="0" borderId="0" xfId="2" applyNumberFormat="1" applyFont="1"/>
  </cellXfs>
  <cellStyles count="3">
    <cellStyle name="Millares [0]" xfId="1" builtinId="6"/>
    <cellStyle name="Normal" xfId="0" builtinId="0"/>
    <cellStyle name="Porcentaje" xfId="2" builtinId="5"/>
  </cellStyles>
  <dxfs count="0"/>
  <tableStyles count="1" defaultTableStyle="TableStyleMedium2" defaultPivotStyle="PivotStyleLight16">
    <tableStyle name="Invisible" pivot="0" table="0" count="0" xr9:uid="{AF1BBC2B-B32A-4A82-87FB-6794824501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908A-753C-4E14-8E75-55EA406B7334}">
  <dimension ref="A1:AS347"/>
  <sheetViews>
    <sheetView tabSelected="1" topLeftCell="S1" workbookViewId="0">
      <selection activeCell="Y5" sqref="Y5"/>
    </sheetView>
  </sheetViews>
  <sheetFormatPr baseColWidth="10" defaultRowHeight="15" x14ac:dyDescent="0.25"/>
  <cols>
    <col min="1" max="1" width="14.42578125" customWidth="1"/>
    <col min="2" max="2" width="18.425781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 t="s">
        <v>47</v>
      </c>
      <c r="D2">
        <v>12.26</v>
      </c>
      <c r="E2" s="2">
        <f>D2*W2/100</f>
        <v>146.9974</v>
      </c>
      <c r="F2">
        <v>15.94</v>
      </c>
      <c r="G2" s="2">
        <f>F2*W2/100</f>
        <v>191.12059999999997</v>
      </c>
      <c r="H2">
        <v>58.17</v>
      </c>
      <c r="I2" s="2">
        <f>H2*W2/100</f>
        <v>697.45830000000001</v>
      </c>
      <c r="J2">
        <v>8.86</v>
      </c>
      <c r="K2" s="2">
        <f>J2*W2/100</f>
        <v>106.23139999999999</v>
      </c>
      <c r="L2">
        <v>2.72</v>
      </c>
      <c r="M2" s="2">
        <f>L2*W2/100</f>
        <v>32.6128</v>
      </c>
      <c r="N2">
        <v>0.14000000000000001</v>
      </c>
      <c r="O2" s="2">
        <f>N2*W2/100</f>
        <v>1.6786000000000001</v>
      </c>
      <c r="P2">
        <v>1.36</v>
      </c>
      <c r="Q2" s="2">
        <f>P2*W2/100</f>
        <v>16.3064</v>
      </c>
      <c r="R2">
        <v>0.54</v>
      </c>
      <c r="S2" s="3">
        <f t="shared" ref="S2:S33" si="0">R2*W2/100</f>
        <v>6.4746000000000006</v>
      </c>
      <c r="T2" t="s">
        <v>48</v>
      </c>
      <c r="U2" s="4">
        <f>SUM(S2,Q2,O2,M2,K2,I2,G2,E2)</f>
        <v>1198.8801000000001</v>
      </c>
      <c r="V2" s="4">
        <f>U2-W2</f>
        <v>-0.11989999999991596</v>
      </c>
      <c r="W2" s="3">
        <v>1199</v>
      </c>
      <c r="X2">
        <v>555</v>
      </c>
      <c r="Y2">
        <v>644</v>
      </c>
      <c r="Z2">
        <v>17</v>
      </c>
      <c r="AA2">
        <v>169</v>
      </c>
      <c r="AB2">
        <v>216</v>
      </c>
      <c r="AC2">
        <v>279</v>
      </c>
      <c r="AD2">
        <v>267</v>
      </c>
      <c r="AE2">
        <v>141</v>
      </c>
      <c r="AF2">
        <v>71</v>
      </c>
      <c r="AG2">
        <v>38</v>
      </c>
      <c r="AH2">
        <v>1</v>
      </c>
      <c r="AI2" s="5">
        <v>46.2885738115096</v>
      </c>
      <c r="AJ2" s="5">
        <v>53.7114261884904</v>
      </c>
      <c r="AK2" s="5">
        <v>1.4178482068390299</v>
      </c>
      <c r="AL2" s="5">
        <v>14.0950792326939</v>
      </c>
      <c r="AM2" s="5">
        <v>18.0150125104254</v>
      </c>
      <c r="AN2" s="5">
        <v>23.269391159299399</v>
      </c>
      <c r="AO2" s="5">
        <v>22.268557130942501</v>
      </c>
      <c r="AP2" s="5">
        <v>11.7597998331943</v>
      </c>
      <c r="AQ2" s="5">
        <v>5.92160133444537</v>
      </c>
      <c r="AR2" s="5">
        <v>3.16930775646372</v>
      </c>
      <c r="AS2" s="5">
        <v>8.3402835696413699E-2</v>
      </c>
    </row>
    <row r="3" spans="1:45" x14ac:dyDescent="0.25">
      <c r="A3" t="s">
        <v>49</v>
      </c>
      <c r="B3" t="s">
        <v>50</v>
      </c>
      <c r="C3" t="s">
        <v>51</v>
      </c>
      <c r="D3">
        <v>2.06</v>
      </c>
      <c r="E3" s="2">
        <f t="shared" ref="E3:E66" si="1">D3*W3/100</f>
        <v>41.818000000000005</v>
      </c>
      <c r="F3">
        <v>31.9</v>
      </c>
      <c r="G3" s="2">
        <f t="shared" ref="G3:G66" si="2">F3*W3/100</f>
        <v>647.57000000000005</v>
      </c>
      <c r="H3">
        <v>57.3</v>
      </c>
      <c r="I3" s="2">
        <f t="shared" ref="I3:I66" si="3">H3*W3/100</f>
        <v>1163.19</v>
      </c>
      <c r="J3">
        <v>6.68</v>
      </c>
      <c r="K3" s="2">
        <f t="shared" ref="K3:K66" si="4">J3*W3/100</f>
        <v>135.60399999999998</v>
      </c>
      <c r="L3">
        <v>0.99</v>
      </c>
      <c r="M3" s="2">
        <f t="shared" ref="M3:M66" si="5">L3*W3/100</f>
        <v>20.097000000000001</v>
      </c>
      <c r="N3">
        <v>0.25</v>
      </c>
      <c r="O3" s="2">
        <f t="shared" ref="O3:O66" si="6">N3*W3/100</f>
        <v>5.0750000000000002</v>
      </c>
      <c r="P3">
        <v>0.66</v>
      </c>
      <c r="Q3" s="2">
        <f t="shared" ref="Q3:Q66" si="7">P3*W3/100</f>
        <v>13.398</v>
      </c>
      <c r="R3">
        <v>0.16</v>
      </c>
      <c r="S3" s="3">
        <f t="shared" si="0"/>
        <v>3.2480000000000002</v>
      </c>
      <c r="T3" t="s">
        <v>52</v>
      </c>
      <c r="U3" s="4">
        <f>SUM(S3,Q3,O3,M3,K3,I3,G3,E3)</f>
        <v>2030.0000000000002</v>
      </c>
      <c r="V3" s="4">
        <f>U3-W3</f>
        <v>0</v>
      </c>
      <c r="W3" s="3">
        <v>2030</v>
      </c>
      <c r="X3">
        <v>916</v>
      </c>
      <c r="Y3">
        <v>1114</v>
      </c>
      <c r="Z3">
        <v>40</v>
      </c>
      <c r="AA3">
        <v>334</v>
      </c>
      <c r="AB3">
        <v>448</v>
      </c>
      <c r="AC3">
        <v>437</v>
      </c>
      <c r="AD3">
        <v>338</v>
      </c>
      <c r="AE3">
        <v>219</v>
      </c>
      <c r="AF3">
        <v>129</v>
      </c>
      <c r="AG3">
        <v>74</v>
      </c>
      <c r="AH3">
        <v>11</v>
      </c>
      <c r="AI3" s="5">
        <v>45.123152709359601</v>
      </c>
      <c r="AJ3" s="5">
        <v>54.876847290640399</v>
      </c>
      <c r="AK3" s="5">
        <v>1.97044334975369</v>
      </c>
      <c r="AL3" s="5">
        <v>16.453201970443299</v>
      </c>
      <c r="AM3" s="5">
        <v>22.068965517241399</v>
      </c>
      <c r="AN3" s="5">
        <v>21.5270935960591</v>
      </c>
      <c r="AO3" s="5">
        <v>16.650246305418701</v>
      </c>
      <c r="AP3" s="5">
        <v>10.7881773399015</v>
      </c>
      <c r="AQ3" s="5">
        <v>6.3546798029556699</v>
      </c>
      <c r="AR3" s="5">
        <v>3.6453201970443301</v>
      </c>
      <c r="AS3" s="5">
        <v>0.54187192118226601</v>
      </c>
    </row>
    <row r="4" spans="1:45" x14ac:dyDescent="0.25">
      <c r="A4" t="s">
        <v>53</v>
      </c>
      <c r="B4" t="s">
        <v>54</v>
      </c>
      <c r="C4" t="s">
        <v>55</v>
      </c>
      <c r="D4">
        <v>7.62</v>
      </c>
      <c r="E4" s="2">
        <f t="shared" si="1"/>
        <v>101.95559999999999</v>
      </c>
      <c r="F4">
        <v>28.69</v>
      </c>
      <c r="G4" s="2">
        <f t="shared" si="2"/>
        <v>383.87220000000002</v>
      </c>
      <c r="H4">
        <v>48.95</v>
      </c>
      <c r="I4" s="2">
        <f t="shared" si="3"/>
        <v>654.95100000000002</v>
      </c>
      <c r="J4">
        <v>9.56</v>
      </c>
      <c r="K4" s="2">
        <f t="shared" si="4"/>
        <v>127.9128</v>
      </c>
      <c r="L4">
        <v>4.21</v>
      </c>
      <c r="M4" s="2">
        <f t="shared" si="5"/>
        <v>56.329799999999999</v>
      </c>
      <c r="N4">
        <v>0</v>
      </c>
      <c r="O4" s="2">
        <f t="shared" si="6"/>
        <v>0</v>
      </c>
      <c r="P4">
        <v>0.49</v>
      </c>
      <c r="Q4" s="2">
        <f t="shared" si="7"/>
        <v>6.5562000000000005</v>
      </c>
      <c r="R4">
        <v>0.49</v>
      </c>
      <c r="S4" s="3">
        <f t="shared" si="0"/>
        <v>6.5562000000000005</v>
      </c>
      <c r="T4" t="s">
        <v>56</v>
      </c>
      <c r="U4" s="4">
        <f t="shared" ref="U4:U67" si="8">SUM(S4,Q4,O4,M4,K4,I4,G4,E4)</f>
        <v>1338.1338000000001</v>
      </c>
      <c r="V4" s="4">
        <f t="shared" ref="V4:V67" si="9">U4-W4</f>
        <v>0.13380000000006476</v>
      </c>
      <c r="W4" s="3">
        <v>1338</v>
      </c>
      <c r="X4">
        <v>534</v>
      </c>
      <c r="Y4">
        <v>804</v>
      </c>
      <c r="Z4">
        <v>13</v>
      </c>
      <c r="AA4">
        <v>112</v>
      </c>
      <c r="AB4">
        <v>215</v>
      </c>
      <c r="AC4">
        <v>310</v>
      </c>
      <c r="AD4">
        <v>289</v>
      </c>
      <c r="AE4">
        <v>179</v>
      </c>
      <c r="AF4">
        <v>143</v>
      </c>
      <c r="AG4">
        <v>66</v>
      </c>
      <c r="AH4">
        <v>11</v>
      </c>
      <c r="AI4" s="5">
        <v>39.910313901345297</v>
      </c>
      <c r="AJ4" s="5">
        <v>60.089686098654703</v>
      </c>
      <c r="AK4" s="5">
        <v>0.97159940209267603</v>
      </c>
      <c r="AL4" s="5">
        <v>8.3707025411061302</v>
      </c>
      <c r="AM4" s="5">
        <v>16.068759342301899</v>
      </c>
      <c r="AN4" s="5">
        <v>23.168908819133001</v>
      </c>
      <c r="AO4" s="5">
        <v>21.5994020926756</v>
      </c>
      <c r="AP4" s="5">
        <v>13.378176382660699</v>
      </c>
      <c r="AQ4" s="5">
        <v>10.687593423019401</v>
      </c>
      <c r="AR4" s="5">
        <v>4.9327354260089704</v>
      </c>
      <c r="AS4" s="5">
        <v>0.822122571001495</v>
      </c>
    </row>
    <row r="5" spans="1:45" x14ac:dyDescent="0.25">
      <c r="A5" t="s">
        <v>57</v>
      </c>
      <c r="B5" t="s">
        <v>58</v>
      </c>
      <c r="C5" t="s">
        <v>47</v>
      </c>
      <c r="D5">
        <v>22.27</v>
      </c>
      <c r="E5" s="2">
        <f t="shared" si="1"/>
        <v>1120.4036999999998</v>
      </c>
      <c r="F5">
        <v>15.15</v>
      </c>
      <c r="G5" s="2">
        <f t="shared" si="2"/>
        <v>762.19650000000013</v>
      </c>
      <c r="H5">
        <v>45.86</v>
      </c>
      <c r="I5" s="2">
        <f t="shared" si="3"/>
        <v>2307.2166000000002</v>
      </c>
      <c r="J5">
        <v>9.24</v>
      </c>
      <c r="K5" s="2">
        <f t="shared" si="4"/>
        <v>464.86440000000005</v>
      </c>
      <c r="L5">
        <v>4.6900000000000004</v>
      </c>
      <c r="M5" s="2">
        <f t="shared" si="5"/>
        <v>235.95390000000003</v>
      </c>
      <c r="N5">
        <v>1.06</v>
      </c>
      <c r="O5" s="2">
        <f t="shared" si="6"/>
        <v>53.328600000000009</v>
      </c>
      <c r="P5">
        <v>1.28</v>
      </c>
      <c r="Q5" s="2">
        <f t="shared" si="7"/>
        <v>64.396799999999999</v>
      </c>
      <c r="R5">
        <v>0.45</v>
      </c>
      <c r="S5" s="3">
        <f t="shared" si="0"/>
        <v>22.639500000000002</v>
      </c>
      <c r="T5" t="s">
        <v>48</v>
      </c>
      <c r="U5" s="4">
        <f t="shared" si="8"/>
        <v>5031</v>
      </c>
      <c r="V5" s="4">
        <f>U5-W5</f>
        <v>0</v>
      </c>
      <c r="W5" s="3">
        <v>5031</v>
      </c>
      <c r="X5">
        <v>2333</v>
      </c>
      <c r="Y5">
        <v>2698</v>
      </c>
      <c r="Z5">
        <v>126</v>
      </c>
      <c r="AA5">
        <v>665</v>
      </c>
      <c r="AB5">
        <v>864</v>
      </c>
      <c r="AC5">
        <v>738</v>
      </c>
      <c r="AD5">
        <v>1045</v>
      </c>
      <c r="AE5">
        <v>849</v>
      </c>
      <c r="AF5">
        <v>547</v>
      </c>
      <c r="AG5">
        <v>183</v>
      </c>
      <c r="AH5">
        <v>14</v>
      </c>
      <c r="AI5" s="5">
        <v>46.372490558537102</v>
      </c>
      <c r="AJ5" s="5">
        <v>53.627509441462898</v>
      </c>
      <c r="AK5" s="5">
        <v>2.5044722719141301</v>
      </c>
      <c r="AL5" s="5">
        <v>13.218048101769</v>
      </c>
      <c r="AM5" s="5">
        <v>17.1735241502683</v>
      </c>
      <c r="AN5" s="5">
        <v>14.6690518783542</v>
      </c>
      <c r="AO5" s="5">
        <v>20.7712184456371</v>
      </c>
      <c r="AP5" s="5">
        <v>16.875372689326198</v>
      </c>
      <c r="AQ5" s="5">
        <v>10.872589942357401</v>
      </c>
      <c r="AR5" s="5">
        <v>3.6374478234943401</v>
      </c>
      <c r="AS5" s="5">
        <v>0.27827469687934803</v>
      </c>
    </row>
    <row r="6" spans="1:45" x14ac:dyDescent="0.25">
      <c r="A6" t="s">
        <v>59</v>
      </c>
      <c r="B6" t="s">
        <v>60</v>
      </c>
      <c r="C6" t="s">
        <v>61</v>
      </c>
      <c r="D6">
        <v>20.93</v>
      </c>
      <c r="E6" s="2">
        <f t="shared" si="1"/>
        <v>1017.8258999999999</v>
      </c>
      <c r="F6">
        <v>16.850000000000001</v>
      </c>
      <c r="G6" s="2">
        <f t="shared" si="2"/>
        <v>819.41550000000007</v>
      </c>
      <c r="H6">
        <v>43.16</v>
      </c>
      <c r="I6" s="2">
        <f t="shared" si="3"/>
        <v>2098.8707999999997</v>
      </c>
      <c r="J6">
        <v>11.06</v>
      </c>
      <c r="K6" s="2">
        <f t="shared" si="4"/>
        <v>537.84780000000001</v>
      </c>
      <c r="L6">
        <v>5.87</v>
      </c>
      <c r="M6" s="2">
        <f t="shared" si="5"/>
        <v>285.4581</v>
      </c>
      <c r="N6">
        <v>0.39</v>
      </c>
      <c r="O6" s="2">
        <f t="shared" si="6"/>
        <v>18.965700000000002</v>
      </c>
      <c r="P6">
        <v>1.35</v>
      </c>
      <c r="Q6" s="2">
        <f t="shared" si="7"/>
        <v>65.650500000000008</v>
      </c>
      <c r="R6">
        <v>0.39</v>
      </c>
      <c r="S6" s="3">
        <f t="shared" si="0"/>
        <v>18.965700000000002</v>
      </c>
      <c r="T6" t="s">
        <v>62</v>
      </c>
      <c r="U6" s="4">
        <f t="shared" si="8"/>
        <v>4863</v>
      </c>
      <c r="V6" s="4">
        <f t="shared" si="9"/>
        <v>0</v>
      </c>
      <c r="W6" s="3">
        <v>4863</v>
      </c>
      <c r="X6">
        <v>2290</v>
      </c>
      <c r="Y6">
        <v>2573</v>
      </c>
      <c r="Z6">
        <v>125</v>
      </c>
      <c r="AA6">
        <v>624</v>
      </c>
      <c r="AB6">
        <v>779</v>
      </c>
      <c r="AC6">
        <v>769</v>
      </c>
      <c r="AD6">
        <v>896</v>
      </c>
      <c r="AE6">
        <v>783</v>
      </c>
      <c r="AF6">
        <v>514</v>
      </c>
      <c r="AG6">
        <v>300</v>
      </c>
      <c r="AH6">
        <v>73</v>
      </c>
      <c r="AI6" s="5">
        <v>47.090273493728198</v>
      </c>
      <c r="AJ6" s="5">
        <v>52.909726506271802</v>
      </c>
      <c r="AK6" s="5">
        <v>2.5704297758585199</v>
      </c>
      <c r="AL6" s="5">
        <v>12.8315854410857</v>
      </c>
      <c r="AM6" s="5">
        <v>16.018918363150298</v>
      </c>
      <c r="AN6" s="5">
        <v>15.8132839810816</v>
      </c>
      <c r="AO6" s="5">
        <v>18.424840633353899</v>
      </c>
      <c r="AP6" s="5">
        <v>16.1011721159778</v>
      </c>
      <c r="AQ6" s="5">
        <v>10.5696072383302</v>
      </c>
      <c r="AR6" s="5">
        <v>6.1690314620604596</v>
      </c>
      <c r="AS6" s="5">
        <v>1.50113098910138</v>
      </c>
    </row>
    <row r="7" spans="1:45" x14ac:dyDescent="0.25">
      <c r="A7" t="s">
        <v>63</v>
      </c>
      <c r="B7" t="s">
        <v>64</v>
      </c>
      <c r="C7" t="s">
        <v>51</v>
      </c>
      <c r="D7">
        <v>7.21</v>
      </c>
      <c r="E7" s="2">
        <f t="shared" si="1"/>
        <v>172.31900000000002</v>
      </c>
      <c r="F7">
        <v>35.93</v>
      </c>
      <c r="G7" s="2">
        <f t="shared" si="2"/>
        <v>858.72699999999998</v>
      </c>
      <c r="H7">
        <v>43.09</v>
      </c>
      <c r="I7" s="2">
        <f t="shared" si="3"/>
        <v>1029.8510000000001</v>
      </c>
      <c r="J7">
        <v>10.58</v>
      </c>
      <c r="K7" s="2">
        <f t="shared" si="4"/>
        <v>252.86199999999999</v>
      </c>
      <c r="L7">
        <v>2.84</v>
      </c>
      <c r="M7" s="2">
        <f t="shared" si="5"/>
        <v>67.875999999999991</v>
      </c>
      <c r="N7">
        <v>0</v>
      </c>
      <c r="O7" s="2">
        <f t="shared" si="6"/>
        <v>0</v>
      </c>
      <c r="P7">
        <v>0.35</v>
      </c>
      <c r="Q7" s="2">
        <f t="shared" si="7"/>
        <v>8.3650000000000002</v>
      </c>
      <c r="R7">
        <v>0</v>
      </c>
      <c r="S7" s="3">
        <f t="shared" si="0"/>
        <v>0</v>
      </c>
      <c r="T7" t="s">
        <v>52</v>
      </c>
      <c r="U7" s="4">
        <f t="shared" si="8"/>
        <v>2390</v>
      </c>
      <c r="V7" s="4">
        <f t="shared" si="9"/>
        <v>0</v>
      </c>
      <c r="W7" s="3">
        <v>2390</v>
      </c>
      <c r="X7">
        <v>1215</v>
      </c>
      <c r="Y7">
        <v>1175</v>
      </c>
      <c r="Z7">
        <v>62</v>
      </c>
      <c r="AA7">
        <v>362</v>
      </c>
      <c r="AB7">
        <v>411</v>
      </c>
      <c r="AC7">
        <v>480</v>
      </c>
      <c r="AD7">
        <v>466</v>
      </c>
      <c r="AE7">
        <v>304</v>
      </c>
      <c r="AF7">
        <v>200</v>
      </c>
      <c r="AG7">
        <v>93</v>
      </c>
      <c r="AH7">
        <v>12</v>
      </c>
      <c r="AI7" s="5">
        <v>50.836820083681999</v>
      </c>
      <c r="AJ7" s="5">
        <v>49.163179916318001</v>
      </c>
      <c r="AK7" s="5">
        <v>2.5941422594142298</v>
      </c>
      <c r="AL7" s="5">
        <v>15.1464435146443</v>
      </c>
      <c r="AM7" s="5">
        <v>17.196652719665298</v>
      </c>
      <c r="AN7" s="5">
        <v>20.0836820083682</v>
      </c>
      <c r="AO7" s="5">
        <v>19.4979079497908</v>
      </c>
      <c r="AP7" s="5">
        <v>12.7196652719665</v>
      </c>
      <c r="AQ7" s="5">
        <v>8.3682008368200798</v>
      </c>
      <c r="AR7" s="5">
        <v>3.8912133891213401</v>
      </c>
      <c r="AS7" s="5">
        <v>0.502092050209205</v>
      </c>
    </row>
    <row r="8" spans="1:45" x14ac:dyDescent="0.25">
      <c r="A8" t="s">
        <v>65</v>
      </c>
      <c r="B8" t="s">
        <v>66</v>
      </c>
      <c r="C8" t="s">
        <v>51</v>
      </c>
      <c r="D8">
        <v>17</v>
      </c>
      <c r="E8" s="2">
        <f t="shared" si="1"/>
        <v>12275.7</v>
      </c>
      <c r="F8">
        <v>20.059999999999999</v>
      </c>
      <c r="G8" s="2">
        <f t="shared" si="2"/>
        <v>14485.325999999999</v>
      </c>
      <c r="H8">
        <v>43.05</v>
      </c>
      <c r="I8" s="2">
        <f t="shared" si="3"/>
        <v>31086.404999999999</v>
      </c>
      <c r="J8">
        <v>12.67</v>
      </c>
      <c r="K8" s="2">
        <f t="shared" si="4"/>
        <v>9149.0069999999996</v>
      </c>
      <c r="L8">
        <v>4.74</v>
      </c>
      <c r="M8" s="2">
        <f>L8*W8/100</f>
        <v>3422.7540000000004</v>
      </c>
      <c r="N8">
        <v>0.85</v>
      </c>
      <c r="O8" s="2">
        <f>N8*W8/100</f>
        <v>613.78499999999997</v>
      </c>
      <c r="P8">
        <v>1.05</v>
      </c>
      <c r="Q8" s="2">
        <f>P8*W8/100</f>
        <v>758.20500000000004</v>
      </c>
      <c r="R8">
        <v>0.56999999999999995</v>
      </c>
      <c r="S8" s="3">
        <f t="shared" si="0"/>
        <v>411.59699999999998</v>
      </c>
      <c r="T8" t="s">
        <v>52</v>
      </c>
      <c r="U8" s="4">
        <f t="shared" si="8"/>
        <v>72202.778999999995</v>
      </c>
      <c r="V8" s="4">
        <f t="shared" si="9"/>
        <v>-7.2210000000050059</v>
      </c>
      <c r="W8" s="3">
        <v>72210</v>
      </c>
      <c r="X8">
        <v>36808</v>
      </c>
      <c r="Y8">
        <v>35402</v>
      </c>
      <c r="Z8">
        <v>3745</v>
      </c>
      <c r="AA8">
        <v>17071</v>
      </c>
      <c r="AB8">
        <v>16772</v>
      </c>
      <c r="AC8">
        <v>12627</v>
      </c>
      <c r="AD8">
        <v>10498</v>
      </c>
      <c r="AE8">
        <v>7455</v>
      </c>
      <c r="AF8">
        <v>3115</v>
      </c>
      <c r="AG8">
        <v>806</v>
      </c>
      <c r="AH8">
        <v>121</v>
      </c>
      <c r="AI8" s="5">
        <v>50.973549369893398</v>
      </c>
      <c r="AJ8" s="5">
        <v>49.026450630106602</v>
      </c>
      <c r="AK8" s="5">
        <v>5.1862622905414799</v>
      </c>
      <c r="AL8" s="5">
        <v>23.640769976457602</v>
      </c>
      <c r="AM8" s="5">
        <v>23.226699903060499</v>
      </c>
      <c r="AN8" s="5">
        <v>17.486497714997899</v>
      </c>
      <c r="AO8" s="5">
        <v>14.5381526104418</v>
      </c>
      <c r="AP8" s="5">
        <v>10.3240548400499</v>
      </c>
      <c r="AQ8" s="5">
        <v>4.3138069519457103</v>
      </c>
      <c r="AR8" s="5">
        <v>1.1161888935050499</v>
      </c>
      <c r="AS8" s="5">
        <v>0.16756681900013801</v>
      </c>
    </row>
    <row r="9" spans="1:45" x14ac:dyDescent="0.25">
      <c r="A9" t="s">
        <v>67</v>
      </c>
      <c r="B9" t="s">
        <v>68</v>
      </c>
      <c r="C9" t="s">
        <v>61</v>
      </c>
      <c r="D9">
        <v>20.92</v>
      </c>
      <c r="E9" s="2">
        <f t="shared" si="1"/>
        <v>2610.8160000000003</v>
      </c>
      <c r="F9">
        <v>17.91</v>
      </c>
      <c r="G9" s="2">
        <f>F9*W9/100</f>
        <v>2235.1679999999997</v>
      </c>
      <c r="H9">
        <v>42.71</v>
      </c>
      <c r="I9" s="2">
        <f>H9*W9/100</f>
        <v>5330.2080000000005</v>
      </c>
      <c r="J9">
        <v>11.83</v>
      </c>
      <c r="K9" s="2">
        <f>J9*W9/100</f>
        <v>1476.384</v>
      </c>
      <c r="L9">
        <v>4.2300000000000004</v>
      </c>
      <c r="M9" s="2">
        <f t="shared" si="5"/>
        <v>527.90400000000011</v>
      </c>
      <c r="N9">
        <v>0.95</v>
      </c>
      <c r="O9" s="2">
        <f t="shared" si="6"/>
        <v>118.56</v>
      </c>
      <c r="P9">
        <v>1.05</v>
      </c>
      <c r="Q9" s="2">
        <f t="shared" si="7"/>
        <v>131.04</v>
      </c>
      <c r="R9">
        <v>0.39</v>
      </c>
      <c r="S9" s="3">
        <f t="shared" si="0"/>
        <v>48.671999999999997</v>
      </c>
      <c r="T9" t="s">
        <v>62</v>
      </c>
      <c r="U9" s="4">
        <f t="shared" si="8"/>
        <v>12478.752000000002</v>
      </c>
      <c r="V9" s="4">
        <f t="shared" si="9"/>
        <v>-1.2479999999977736</v>
      </c>
      <c r="W9" s="3">
        <v>12480</v>
      </c>
      <c r="X9">
        <v>5950</v>
      </c>
      <c r="Y9">
        <v>6530</v>
      </c>
      <c r="Z9">
        <v>445</v>
      </c>
      <c r="AA9">
        <v>2134</v>
      </c>
      <c r="AB9">
        <v>2591</v>
      </c>
      <c r="AC9">
        <v>2112</v>
      </c>
      <c r="AD9">
        <v>2258</v>
      </c>
      <c r="AE9">
        <v>1745</v>
      </c>
      <c r="AF9">
        <v>824</v>
      </c>
      <c r="AG9">
        <v>328</v>
      </c>
      <c r="AH9">
        <v>43</v>
      </c>
      <c r="AI9" s="5">
        <v>47.676282051282101</v>
      </c>
      <c r="AJ9" s="5">
        <v>52.323717948717899</v>
      </c>
      <c r="AK9" s="5">
        <v>3.56570512820513</v>
      </c>
      <c r="AL9" s="5">
        <v>17.099358974358999</v>
      </c>
      <c r="AM9" s="5">
        <v>20.761217948717899</v>
      </c>
      <c r="AN9" s="5">
        <v>16.923076923076898</v>
      </c>
      <c r="AO9" s="5">
        <v>18.092948717948701</v>
      </c>
      <c r="AP9" s="5">
        <v>13.982371794871799</v>
      </c>
      <c r="AQ9" s="5">
        <v>6.6025641025641004</v>
      </c>
      <c r="AR9" s="5">
        <v>2.62820512820513</v>
      </c>
      <c r="AS9" s="5">
        <v>0.34455128205128199</v>
      </c>
    </row>
    <row r="10" spans="1:45" x14ac:dyDescent="0.25">
      <c r="A10" t="s">
        <v>69</v>
      </c>
      <c r="B10" t="s">
        <v>70</v>
      </c>
      <c r="C10" t="s">
        <v>47</v>
      </c>
      <c r="D10">
        <v>22.84</v>
      </c>
      <c r="E10" s="2">
        <f>D10*W10/100</f>
        <v>349.452</v>
      </c>
      <c r="F10">
        <v>16.3</v>
      </c>
      <c r="G10" s="2">
        <f t="shared" si="2"/>
        <v>249.39</v>
      </c>
      <c r="H10">
        <v>41.9</v>
      </c>
      <c r="I10" s="2">
        <f t="shared" si="3"/>
        <v>641.07000000000005</v>
      </c>
      <c r="J10">
        <v>12.13</v>
      </c>
      <c r="K10" s="2">
        <f t="shared" si="4"/>
        <v>185.58900000000003</v>
      </c>
      <c r="L10">
        <v>5.0199999999999996</v>
      </c>
      <c r="M10" s="2">
        <f t="shared" si="5"/>
        <v>76.805999999999997</v>
      </c>
      <c r="N10">
        <v>0.85</v>
      </c>
      <c r="O10" s="2">
        <f t="shared" si="6"/>
        <v>13.005000000000001</v>
      </c>
      <c r="P10">
        <v>0.76</v>
      </c>
      <c r="Q10" s="2">
        <f t="shared" si="7"/>
        <v>11.628</v>
      </c>
      <c r="R10">
        <v>0.19</v>
      </c>
      <c r="S10" s="3">
        <f t="shared" si="0"/>
        <v>2.907</v>
      </c>
      <c r="T10" t="s">
        <v>48</v>
      </c>
      <c r="U10" s="4">
        <f t="shared" si="8"/>
        <v>1529.847</v>
      </c>
      <c r="V10" s="4">
        <f t="shared" si="9"/>
        <v>-0.15300000000002001</v>
      </c>
      <c r="W10" s="3">
        <v>1530</v>
      </c>
      <c r="X10">
        <v>750</v>
      </c>
      <c r="Y10">
        <v>780</v>
      </c>
      <c r="Z10">
        <v>45</v>
      </c>
      <c r="AA10">
        <v>219</v>
      </c>
      <c r="AB10">
        <v>337</v>
      </c>
      <c r="AC10">
        <v>324</v>
      </c>
      <c r="AD10">
        <v>304</v>
      </c>
      <c r="AE10">
        <v>192</v>
      </c>
      <c r="AF10">
        <v>82</v>
      </c>
      <c r="AG10">
        <v>23</v>
      </c>
      <c r="AH10">
        <v>4</v>
      </c>
      <c r="AI10" s="5">
        <v>49.019607843137301</v>
      </c>
      <c r="AJ10" s="5">
        <v>50.980392156862699</v>
      </c>
      <c r="AK10" s="5">
        <v>2.9411764705882399</v>
      </c>
      <c r="AL10" s="5">
        <v>14.3137254901961</v>
      </c>
      <c r="AM10" s="5">
        <v>22.026143790849702</v>
      </c>
      <c r="AN10" s="5">
        <v>21.176470588235301</v>
      </c>
      <c r="AO10" s="5">
        <v>19.869281045751599</v>
      </c>
      <c r="AP10" s="5">
        <v>12.5490196078431</v>
      </c>
      <c r="AQ10" s="5">
        <v>5.3594771241830097</v>
      </c>
      <c r="AR10" s="5">
        <v>1.50326797385621</v>
      </c>
      <c r="AS10" s="5">
        <v>0.26143790849673199</v>
      </c>
    </row>
    <row r="11" spans="1:45" x14ac:dyDescent="0.25">
      <c r="A11" t="s">
        <v>71</v>
      </c>
      <c r="B11" t="s">
        <v>72</v>
      </c>
      <c r="C11" t="s">
        <v>51</v>
      </c>
      <c r="D11">
        <v>17.53</v>
      </c>
      <c r="E11" s="2">
        <f t="shared" si="1"/>
        <v>2231.0431000000003</v>
      </c>
      <c r="F11">
        <v>20.18</v>
      </c>
      <c r="G11" s="2">
        <f t="shared" si="2"/>
        <v>2568.3085999999998</v>
      </c>
      <c r="H11">
        <v>41.87</v>
      </c>
      <c r="I11" s="2">
        <f t="shared" si="3"/>
        <v>5328.7948999999999</v>
      </c>
      <c r="J11">
        <v>13.82</v>
      </c>
      <c r="K11" s="2">
        <f t="shared" si="4"/>
        <v>1758.8714000000002</v>
      </c>
      <c r="L11">
        <v>4.3899999999999997</v>
      </c>
      <c r="M11" s="2">
        <f t="shared" si="5"/>
        <v>558.71529999999996</v>
      </c>
      <c r="N11">
        <v>0.62</v>
      </c>
      <c r="O11" s="2">
        <f t="shared" si="6"/>
        <v>78.907399999999996</v>
      </c>
      <c r="P11">
        <v>1.17</v>
      </c>
      <c r="Q11" s="2">
        <f t="shared" si="7"/>
        <v>148.90589999999997</v>
      </c>
      <c r="R11">
        <v>0.42</v>
      </c>
      <c r="S11" s="3">
        <f t="shared" si="0"/>
        <v>53.453400000000002</v>
      </c>
      <c r="T11" t="s">
        <v>52</v>
      </c>
      <c r="U11" s="4">
        <f t="shared" si="8"/>
        <v>12727</v>
      </c>
      <c r="V11" s="4">
        <f t="shared" si="9"/>
        <v>0</v>
      </c>
      <c r="W11" s="3">
        <v>12727</v>
      </c>
      <c r="X11">
        <v>5959</v>
      </c>
      <c r="Y11">
        <v>6768</v>
      </c>
      <c r="Z11">
        <v>455</v>
      </c>
      <c r="AA11">
        <v>2321</v>
      </c>
      <c r="AB11">
        <v>2598</v>
      </c>
      <c r="AC11">
        <v>2458</v>
      </c>
      <c r="AD11">
        <v>1928</v>
      </c>
      <c r="AE11">
        <v>1554</v>
      </c>
      <c r="AF11">
        <v>963</v>
      </c>
      <c r="AG11">
        <v>397</v>
      </c>
      <c r="AH11">
        <v>53</v>
      </c>
      <c r="AI11" s="5">
        <v>46.821717608234501</v>
      </c>
      <c r="AJ11" s="5">
        <v>53.178282391765499</v>
      </c>
      <c r="AK11" s="5">
        <v>3.5750766087844701</v>
      </c>
      <c r="AL11" s="5">
        <v>18.236819360414898</v>
      </c>
      <c r="AM11" s="5">
        <v>20.413294570597898</v>
      </c>
      <c r="AN11" s="5">
        <v>19.313270998664301</v>
      </c>
      <c r="AO11" s="5">
        <v>15.148896047772499</v>
      </c>
      <c r="AP11" s="5">
        <v>12.2102616484639</v>
      </c>
      <c r="AQ11" s="5">
        <v>7.5665907126581304</v>
      </c>
      <c r="AR11" s="5">
        <v>3.1193525575547998</v>
      </c>
      <c r="AS11" s="5">
        <v>0.41643749508917999</v>
      </c>
    </row>
    <row r="12" spans="1:45" x14ac:dyDescent="0.25">
      <c r="A12" t="s">
        <v>73</v>
      </c>
      <c r="B12" t="s">
        <v>74</v>
      </c>
      <c r="C12" t="s">
        <v>75</v>
      </c>
      <c r="D12">
        <v>22.06</v>
      </c>
      <c r="E12" s="2">
        <f t="shared" si="1"/>
        <v>2480.2057999999997</v>
      </c>
      <c r="F12">
        <v>17.25</v>
      </c>
      <c r="G12" s="2">
        <f t="shared" si="2"/>
        <v>1939.4175</v>
      </c>
      <c r="H12">
        <v>41.07</v>
      </c>
      <c r="I12" s="2">
        <f t="shared" si="3"/>
        <v>4617.5001000000002</v>
      </c>
      <c r="J12">
        <v>12.23</v>
      </c>
      <c r="K12" s="2">
        <f t="shared" si="4"/>
        <v>1375.0189</v>
      </c>
      <c r="L12">
        <v>5.43</v>
      </c>
      <c r="M12" s="2">
        <f t="shared" si="5"/>
        <v>610.49490000000003</v>
      </c>
      <c r="N12">
        <v>0.51</v>
      </c>
      <c r="O12" s="2">
        <f t="shared" si="6"/>
        <v>57.339300000000001</v>
      </c>
      <c r="P12">
        <v>1.28</v>
      </c>
      <c r="Q12" s="2">
        <f t="shared" si="7"/>
        <v>143.91040000000001</v>
      </c>
      <c r="R12">
        <v>0.17</v>
      </c>
      <c r="S12" s="3">
        <f t="shared" si="0"/>
        <v>19.113100000000003</v>
      </c>
      <c r="T12" t="s">
        <v>76</v>
      </c>
      <c r="U12" s="4">
        <f t="shared" si="8"/>
        <v>11243</v>
      </c>
      <c r="V12" s="4">
        <f t="shared" si="9"/>
        <v>0</v>
      </c>
      <c r="W12" s="3">
        <v>11243</v>
      </c>
      <c r="X12">
        <v>5593</v>
      </c>
      <c r="Y12">
        <v>5650</v>
      </c>
      <c r="Z12">
        <v>371</v>
      </c>
      <c r="AA12">
        <v>1640</v>
      </c>
      <c r="AB12">
        <v>1919</v>
      </c>
      <c r="AC12">
        <v>1782</v>
      </c>
      <c r="AD12">
        <v>1973</v>
      </c>
      <c r="AE12">
        <v>1660</v>
      </c>
      <c r="AF12">
        <v>1154</v>
      </c>
      <c r="AG12">
        <v>600</v>
      </c>
      <c r="AH12">
        <v>144</v>
      </c>
      <c r="AI12" s="5">
        <v>49.746508938895303</v>
      </c>
      <c r="AJ12" s="5">
        <v>50.253491061104697</v>
      </c>
      <c r="AK12" s="5">
        <v>3.2998310059592599</v>
      </c>
      <c r="AL12" s="5">
        <v>14.5868540425153</v>
      </c>
      <c r="AM12" s="5">
        <v>17.068398114382301</v>
      </c>
      <c r="AN12" s="5">
        <v>15.8498621364405</v>
      </c>
      <c r="AO12" s="5">
        <v>17.5486969670017</v>
      </c>
      <c r="AP12" s="5">
        <v>14.764742506448499</v>
      </c>
      <c r="AQ12" s="5">
        <v>10.264164368940699</v>
      </c>
      <c r="AR12" s="5">
        <v>5.33665391799342</v>
      </c>
      <c r="AS12" s="5">
        <v>1.2807969403184201</v>
      </c>
    </row>
    <row r="13" spans="1:45" x14ac:dyDescent="0.25">
      <c r="A13" t="s">
        <v>77</v>
      </c>
      <c r="B13" t="s">
        <v>78</v>
      </c>
      <c r="C13" t="s">
        <v>47</v>
      </c>
      <c r="D13">
        <v>26.62</v>
      </c>
      <c r="E13" s="2">
        <f t="shared" si="1"/>
        <v>5706.5294000000004</v>
      </c>
      <c r="F13">
        <v>14.93</v>
      </c>
      <c r="G13" s="2">
        <f t="shared" si="2"/>
        <v>3200.5440999999996</v>
      </c>
      <c r="H13">
        <v>40.5</v>
      </c>
      <c r="I13" s="2">
        <f t="shared" si="3"/>
        <v>8681.9850000000006</v>
      </c>
      <c r="J13">
        <v>10.11</v>
      </c>
      <c r="K13" s="2">
        <f t="shared" si="4"/>
        <v>2167.2806999999998</v>
      </c>
      <c r="L13">
        <v>5.18</v>
      </c>
      <c r="M13" s="2">
        <f t="shared" si="5"/>
        <v>1110.4366</v>
      </c>
      <c r="N13">
        <v>0.85</v>
      </c>
      <c r="O13" s="2">
        <f t="shared" si="6"/>
        <v>182.21450000000002</v>
      </c>
      <c r="P13">
        <v>1.23</v>
      </c>
      <c r="Q13" s="2">
        <f t="shared" si="7"/>
        <v>263.67509999999999</v>
      </c>
      <c r="R13">
        <v>0.56999999999999995</v>
      </c>
      <c r="S13" s="3">
        <f t="shared" si="0"/>
        <v>122.19089999999998</v>
      </c>
      <c r="T13" t="s">
        <v>48</v>
      </c>
      <c r="U13" s="4">
        <f t="shared" si="8"/>
        <v>21434.856299999999</v>
      </c>
      <c r="V13" s="4">
        <f t="shared" si="9"/>
        <v>-2.1437000000005355</v>
      </c>
      <c r="W13" s="3">
        <v>21437</v>
      </c>
      <c r="X13">
        <v>10706</v>
      </c>
      <c r="Y13">
        <v>10731</v>
      </c>
      <c r="Z13">
        <v>764</v>
      </c>
      <c r="AA13">
        <v>3472</v>
      </c>
      <c r="AB13">
        <v>4136</v>
      </c>
      <c r="AC13">
        <v>3452</v>
      </c>
      <c r="AD13">
        <v>3520</v>
      </c>
      <c r="AE13">
        <v>3377</v>
      </c>
      <c r="AF13">
        <v>1870</v>
      </c>
      <c r="AG13">
        <v>722</v>
      </c>
      <c r="AH13">
        <v>124</v>
      </c>
      <c r="AI13" s="5">
        <v>49.941689602089802</v>
      </c>
      <c r="AJ13" s="5">
        <v>50.058310397910198</v>
      </c>
      <c r="AK13" s="5">
        <v>3.5639315202686901</v>
      </c>
      <c r="AL13" s="5">
        <v>16.1962961235247</v>
      </c>
      <c r="AM13" s="5">
        <v>19.293744460512201</v>
      </c>
      <c r="AN13" s="5">
        <v>16.102999486868502</v>
      </c>
      <c r="AO13" s="5">
        <v>16.420208051499699</v>
      </c>
      <c r="AP13" s="5">
        <v>15.753137099407599</v>
      </c>
      <c r="AQ13" s="5">
        <v>8.7232355273592397</v>
      </c>
      <c r="AR13" s="5">
        <v>3.3680085832905702</v>
      </c>
      <c r="AS13" s="5">
        <v>0.57843914726874102</v>
      </c>
    </row>
    <row r="14" spans="1:45" x14ac:dyDescent="0.25">
      <c r="A14" t="s">
        <v>79</v>
      </c>
      <c r="B14" t="s">
        <v>80</v>
      </c>
      <c r="C14" t="s">
        <v>81</v>
      </c>
      <c r="D14">
        <v>16.14</v>
      </c>
      <c r="E14" s="2">
        <f t="shared" si="1"/>
        <v>916.59059999999999</v>
      </c>
      <c r="F14">
        <v>28.19</v>
      </c>
      <c r="G14" s="2">
        <f t="shared" si="2"/>
        <v>1600.9101000000001</v>
      </c>
      <c r="H14">
        <v>40.31</v>
      </c>
      <c r="I14" s="2">
        <f t="shared" si="3"/>
        <v>2289.2049000000002</v>
      </c>
      <c r="J14">
        <v>8.5</v>
      </c>
      <c r="K14" s="2">
        <f t="shared" si="4"/>
        <v>482.71499999999997</v>
      </c>
      <c r="L14">
        <v>4.07</v>
      </c>
      <c r="M14" s="2">
        <f t="shared" si="5"/>
        <v>231.13530000000003</v>
      </c>
      <c r="N14">
        <v>0.3</v>
      </c>
      <c r="O14" s="2">
        <f t="shared" si="6"/>
        <v>17.036999999999999</v>
      </c>
      <c r="P14">
        <v>2.08</v>
      </c>
      <c r="Q14" s="2">
        <f t="shared" si="7"/>
        <v>118.1232</v>
      </c>
      <c r="R14">
        <v>0.41</v>
      </c>
      <c r="S14" s="3">
        <f t="shared" si="0"/>
        <v>23.283899999999999</v>
      </c>
      <c r="T14" t="s">
        <v>82</v>
      </c>
      <c r="U14" s="4">
        <f t="shared" si="8"/>
        <v>5679</v>
      </c>
      <c r="V14" s="4">
        <f t="shared" si="9"/>
        <v>0</v>
      </c>
      <c r="W14" s="3">
        <v>5679</v>
      </c>
      <c r="X14">
        <v>2795</v>
      </c>
      <c r="Y14">
        <v>2884</v>
      </c>
      <c r="Z14">
        <v>277</v>
      </c>
      <c r="AA14">
        <v>1122</v>
      </c>
      <c r="AB14">
        <v>1266</v>
      </c>
      <c r="AC14">
        <v>1087</v>
      </c>
      <c r="AD14">
        <v>852</v>
      </c>
      <c r="AE14">
        <v>630</v>
      </c>
      <c r="AF14">
        <v>309</v>
      </c>
      <c r="AG14">
        <v>113</v>
      </c>
      <c r="AH14">
        <v>23</v>
      </c>
      <c r="AI14" s="5">
        <v>49.216411340024599</v>
      </c>
      <c r="AJ14" s="5">
        <v>50.783588659975301</v>
      </c>
      <c r="AK14" s="5">
        <v>4.8776192991723901</v>
      </c>
      <c r="AL14" s="5">
        <v>19.756999471737998</v>
      </c>
      <c r="AM14" s="5">
        <v>22.292657157950298</v>
      </c>
      <c r="AN14" s="5">
        <v>19.140693784116898</v>
      </c>
      <c r="AO14" s="5">
        <v>15.0026413100898</v>
      </c>
      <c r="AP14" s="5">
        <v>11.093502377179099</v>
      </c>
      <c r="AQ14" s="5">
        <v>5.4410987849973598</v>
      </c>
      <c r="AR14" s="5">
        <v>1.9897869343194201</v>
      </c>
      <c r="AS14" s="5">
        <v>0.40500088043669702</v>
      </c>
    </row>
    <row r="15" spans="1:45" x14ac:dyDescent="0.25">
      <c r="A15" t="s">
        <v>83</v>
      </c>
      <c r="B15" t="s">
        <v>84</v>
      </c>
      <c r="C15" t="s">
        <v>61</v>
      </c>
      <c r="D15">
        <v>27.28</v>
      </c>
      <c r="E15" s="2">
        <f t="shared" si="1"/>
        <v>1767.4712</v>
      </c>
      <c r="F15">
        <v>15.89</v>
      </c>
      <c r="G15" s="2">
        <f t="shared" si="2"/>
        <v>1029.5130999999999</v>
      </c>
      <c r="H15">
        <v>39.54</v>
      </c>
      <c r="I15" s="2">
        <f t="shared" si="3"/>
        <v>2561.7966000000001</v>
      </c>
      <c r="J15">
        <v>10.06</v>
      </c>
      <c r="K15" s="2">
        <f t="shared" si="4"/>
        <v>651.78740000000005</v>
      </c>
      <c r="L15">
        <v>5.23</v>
      </c>
      <c r="M15" s="2">
        <f t="shared" si="5"/>
        <v>338.85170000000005</v>
      </c>
      <c r="N15">
        <v>0.75</v>
      </c>
      <c r="O15" s="2">
        <f t="shared" si="6"/>
        <v>48.592500000000001</v>
      </c>
      <c r="P15">
        <v>0.86</v>
      </c>
      <c r="Q15" s="2">
        <f t="shared" si="7"/>
        <v>55.719399999999993</v>
      </c>
      <c r="R15">
        <v>0.38</v>
      </c>
      <c r="S15" s="3">
        <f t="shared" si="0"/>
        <v>24.620200000000001</v>
      </c>
      <c r="T15" t="s">
        <v>62</v>
      </c>
      <c r="U15" s="4">
        <f t="shared" si="8"/>
        <v>6478.3521000000001</v>
      </c>
      <c r="V15" s="4">
        <f t="shared" si="9"/>
        <v>-0.64789999999993597</v>
      </c>
      <c r="W15" s="3">
        <v>6479</v>
      </c>
      <c r="X15">
        <v>3208</v>
      </c>
      <c r="Y15">
        <v>3271</v>
      </c>
      <c r="Z15">
        <v>232</v>
      </c>
      <c r="AA15">
        <v>966</v>
      </c>
      <c r="AB15">
        <v>1264</v>
      </c>
      <c r="AC15">
        <v>1003</v>
      </c>
      <c r="AD15">
        <v>1116</v>
      </c>
      <c r="AE15">
        <v>996</v>
      </c>
      <c r="AF15">
        <v>578</v>
      </c>
      <c r="AG15">
        <v>265</v>
      </c>
      <c r="AH15">
        <v>59</v>
      </c>
      <c r="AI15" s="5">
        <v>49.513813860163602</v>
      </c>
      <c r="AJ15" s="5">
        <v>50.486186139836398</v>
      </c>
      <c r="AK15" s="5">
        <v>3.58079950609662</v>
      </c>
      <c r="AL15" s="5">
        <v>14.9097082883161</v>
      </c>
      <c r="AM15" s="5">
        <v>19.509183515974701</v>
      </c>
      <c r="AN15" s="5">
        <v>15.480784071616</v>
      </c>
      <c r="AO15" s="5">
        <v>17.224880382775101</v>
      </c>
      <c r="AP15" s="5">
        <v>15.3727427072079</v>
      </c>
      <c r="AQ15" s="5">
        <v>8.9211298039820992</v>
      </c>
      <c r="AR15" s="5">
        <v>4.0901373668775998</v>
      </c>
      <c r="AS15" s="5">
        <v>0.91063435715388197</v>
      </c>
    </row>
    <row r="16" spans="1:45" x14ac:dyDescent="0.25">
      <c r="A16" t="s">
        <v>85</v>
      </c>
      <c r="B16" t="s">
        <v>86</v>
      </c>
      <c r="C16" t="s">
        <v>75</v>
      </c>
      <c r="D16">
        <v>20.94</v>
      </c>
      <c r="E16" s="2">
        <f t="shared" si="1"/>
        <v>5870.5290000000005</v>
      </c>
      <c r="F16">
        <v>19.62</v>
      </c>
      <c r="G16" s="2">
        <f t="shared" si="2"/>
        <v>5500.4670000000006</v>
      </c>
      <c r="H16">
        <v>39.17</v>
      </c>
      <c r="I16" s="2">
        <f t="shared" si="3"/>
        <v>10981.309499999999</v>
      </c>
      <c r="J16">
        <v>12.08</v>
      </c>
      <c r="K16" s="2">
        <f t="shared" si="4"/>
        <v>3386.6279999999997</v>
      </c>
      <c r="L16">
        <v>5.66</v>
      </c>
      <c r="M16" s="2">
        <f t="shared" si="5"/>
        <v>1586.7809999999999</v>
      </c>
      <c r="N16">
        <v>0.68</v>
      </c>
      <c r="O16" s="2">
        <f t="shared" si="6"/>
        <v>190.63800000000003</v>
      </c>
      <c r="P16">
        <v>1.36</v>
      </c>
      <c r="Q16" s="2">
        <f t="shared" si="7"/>
        <v>381.27600000000007</v>
      </c>
      <c r="R16">
        <v>0.49</v>
      </c>
      <c r="S16" s="3">
        <f t="shared" si="0"/>
        <v>137.3715</v>
      </c>
      <c r="T16" t="s">
        <v>76</v>
      </c>
      <c r="U16" s="4">
        <f t="shared" si="8"/>
        <v>28035</v>
      </c>
      <c r="V16" s="4">
        <f t="shared" si="9"/>
        <v>0</v>
      </c>
      <c r="W16" s="3">
        <v>28035</v>
      </c>
      <c r="X16">
        <v>13741</v>
      </c>
      <c r="Y16">
        <v>14294</v>
      </c>
      <c r="Z16">
        <v>827</v>
      </c>
      <c r="AA16">
        <v>4333</v>
      </c>
      <c r="AB16">
        <v>4988</v>
      </c>
      <c r="AC16">
        <v>4521</v>
      </c>
      <c r="AD16">
        <v>5087</v>
      </c>
      <c r="AE16">
        <v>4161</v>
      </c>
      <c r="AF16">
        <v>2444</v>
      </c>
      <c r="AG16">
        <v>1365</v>
      </c>
      <c r="AH16">
        <v>309</v>
      </c>
      <c r="AI16" s="5">
        <v>49.013732833957597</v>
      </c>
      <c r="AJ16" s="5">
        <v>50.986267166042403</v>
      </c>
      <c r="AK16" s="5">
        <v>2.9498840734795801</v>
      </c>
      <c r="AL16" s="5">
        <v>15.455680399500601</v>
      </c>
      <c r="AM16" s="5">
        <v>17.792045657214199</v>
      </c>
      <c r="AN16" s="5">
        <v>16.126270733012301</v>
      </c>
      <c r="AO16" s="5">
        <v>18.145175673265602</v>
      </c>
      <c r="AP16" s="5">
        <v>14.842161583734599</v>
      </c>
      <c r="AQ16" s="5">
        <v>8.7176743356518607</v>
      </c>
      <c r="AR16" s="5">
        <v>4.8689138576779003</v>
      </c>
      <c r="AS16" s="5">
        <v>1.1021936864633499</v>
      </c>
    </row>
    <row r="17" spans="1:45" x14ac:dyDescent="0.25">
      <c r="A17" t="s">
        <v>87</v>
      </c>
      <c r="B17" t="s">
        <v>88</v>
      </c>
      <c r="C17" t="s">
        <v>47</v>
      </c>
      <c r="D17">
        <v>18.690000000000001</v>
      </c>
      <c r="E17" s="2">
        <f t="shared" si="1"/>
        <v>25072.448100000001</v>
      </c>
      <c r="F17">
        <v>19.309999999999999</v>
      </c>
      <c r="G17" s="2">
        <f t="shared" si="2"/>
        <v>25904.171900000001</v>
      </c>
      <c r="H17">
        <v>38.979999999999997</v>
      </c>
      <c r="I17" s="2">
        <f t="shared" si="3"/>
        <v>52291.280199999994</v>
      </c>
      <c r="J17">
        <v>14.37</v>
      </c>
      <c r="K17" s="2">
        <f t="shared" si="4"/>
        <v>19277.211299999999</v>
      </c>
      <c r="L17">
        <v>6.08</v>
      </c>
      <c r="M17" s="2">
        <f t="shared" si="5"/>
        <v>8156.2592000000004</v>
      </c>
      <c r="N17">
        <v>0.96</v>
      </c>
      <c r="O17" s="2">
        <f t="shared" si="6"/>
        <v>1287.8303999999998</v>
      </c>
      <c r="P17">
        <v>1.1499999999999999</v>
      </c>
      <c r="Q17" s="2">
        <f t="shared" si="7"/>
        <v>1542.7134999999998</v>
      </c>
      <c r="R17">
        <v>0.47</v>
      </c>
      <c r="S17" s="3">
        <f t="shared" si="0"/>
        <v>630.50030000000004</v>
      </c>
      <c r="T17" t="s">
        <v>48</v>
      </c>
      <c r="U17" s="4">
        <f t="shared" si="8"/>
        <v>134162.4149</v>
      </c>
      <c r="V17" s="4">
        <f t="shared" si="9"/>
        <v>13.414900000003399</v>
      </c>
      <c r="W17" s="3">
        <v>134149</v>
      </c>
      <c r="X17">
        <v>66306</v>
      </c>
      <c r="Y17">
        <v>67843</v>
      </c>
      <c r="Z17">
        <v>4568</v>
      </c>
      <c r="AA17">
        <v>22072</v>
      </c>
      <c r="AB17">
        <v>30589</v>
      </c>
      <c r="AC17">
        <v>26300</v>
      </c>
      <c r="AD17">
        <v>22200</v>
      </c>
      <c r="AE17">
        <v>16620</v>
      </c>
      <c r="AF17">
        <v>8209</v>
      </c>
      <c r="AG17">
        <v>3076</v>
      </c>
      <c r="AH17">
        <v>515</v>
      </c>
      <c r="AI17" s="5">
        <v>49.427129535069199</v>
      </c>
      <c r="AJ17" s="5">
        <v>50.572870464930801</v>
      </c>
      <c r="AK17" s="5">
        <v>3.40516887938039</v>
      </c>
      <c r="AL17" s="5">
        <v>16.453346651857299</v>
      </c>
      <c r="AM17" s="5">
        <v>22.802257191630201</v>
      </c>
      <c r="AN17" s="5">
        <v>19.6050660086918</v>
      </c>
      <c r="AO17" s="5">
        <v>16.548762942698001</v>
      </c>
      <c r="AP17" s="5">
        <v>12.3892090138577</v>
      </c>
      <c r="AQ17" s="5">
        <v>6.1193150899373103</v>
      </c>
      <c r="AR17" s="5">
        <v>2.2929727392675301</v>
      </c>
      <c r="AS17" s="5">
        <v>0.38390148267970697</v>
      </c>
    </row>
    <row r="18" spans="1:45" x14ac:dyDescent="0.25">
      <c r="A18" t="s">
        <v>89</v>
      </c>
      <c r="B18" t="s">
        <v>90</v>
      </c>
      <c r="C18" t="s">
        <v>47</v>
      </c>
      <c r="D18">
        <v>26.99</v>
      </c>
      <c r="E18" s="2">
        <f t="shared" si="1"/>
        <v>2943.5293999999999</v>
      </c>
      <c r="F18">
        <v>15.23</v>
      </c>
      <c r="G18" s="2">
        <f t="shared" si="2"/>
        <v>1660.9838</v>
      </c>
      <c r="H18">
        <v>38.47</v>
      </c>
      <c r="I18" s="2">
        <f t="shared" si="3"/>
        <v>4195.5382</v>
      </c>
      <c r="J18">
        <v>10.93</v>
      </c>
      <c r="K18" s="2">
        <f t="shared" si="4"/>
        <v>1192.0258000000001</v>
      </c>
      <c r="L18">
        <v>5.81</v>
      </c>
      <c r="M18" s="2">
        <f t="shared" si="5"/>
        <v>633.63859999999988</v>
      </c>
      <c r="N18">
        <v>0.91</v>
      </c>
      <c r="O18" s="2">
        <f t="shared" si="6"/>
        <v>99.244600000000005</v>
      </c>
      <c r="P18">
        <v>1.17</v>
      </c>
      <c r="Q18" s="2">
        <f t="shared" si="7"/>
        <v>127.60019999999999</v>
      </c>
      <c r="R18">
        <v>0.49</v>
      </c>
      <c r="S18" s="3">
        <f t="shared" si="0"/>
        <v>53.439399999999999</v>
      </c>
      <c r="T18" t="s">
        <v>48</v>
      </c>
      <c r="U18" s="4">
        <f t="shared" si="8"/>
        <v>10906</v>
      </c>
      <c r="V18" s="4">
        <f t="shared" si="9"/>
        <v>0</v>
      </c>
      <c r="W18" s="3">
        <v>10906</v>
      </c>
      <c r="X18">
        <v>5316</v>
      </c>
      <c r="Y18">
        <v>5590</v>
      </c>
      <c r="Z18">
        <v>329</v>
      </c>
      <c r="AA18">
        <v>1983</v>
      </c>
      <c r="AB18">
        <v>2581</v>
      </c>
      <c r="AC18">
        <v>2016</v>
      </c>
      <c r="AD18">
        <v>1658</v>
      </c>
      <c r="AE18">
        <v>1440</v>
      </c>
      <c r="AF18">
        <v>670</v>
      </c>
      <c r="AG18">
        <v>203</v>
      </c>
      <c r="AH18">
        <v>26</v>
      </c>
      <c r="AI18" s="5">
        <v>48.743810746378102</v>
      </c>
      <c r="AJ18" s="5">
        <v>51.256189253621898</v>
      </c>
      <c r="AK18" s="5">
        <v>3.0166880616174598</v>
      </c>
      <c r="AL18" s="5">
        <v>18.182651751329502</v>
      </c>
      <c r="AM18" s="5">
        <v>23.6658719970658</v>
      </c>
      <c r="AN18" s="5">
        <v>18.485237483953799</v>
      </c>
      <c r="AO18" s="5">
        <v>15.202640748212</v>
      </c>
      <c r="AP18" s="5">
        <v>13.203741059966999</v>
      </c>
      <c r="AQ18" s="5">
        <v>6.1434072987346404</v>
      </c>
      <c r="AR18" s="5">
        <v>1.86136071887035</v>
      </c>
      <c r="AS18" s="5">
        <v>0.23840088024940401</v>
      </c>
    </row>
    <row r="19" spans="1:45" x14ac:dyDescent="0.25">
      <c r="A19" t="s">
        <v>91</v>
      </c>
      <c r="B19" t="s">
        <v>92</v>
      </c>
      <c r="C19" t="s">
        <v>93</v>
      </c>
      <c r="D19">
        <v>21.3</v>
      </c>
      <c r="E19" s="2">
        <f t="shared" si="1"/>
        <v>915.47400000000005</v>
      </c>
      <c r="F19">
        <v>23.78</v>
      </c>
      <c r="G19" s="2">
        <f t="shared" si="2"/>
        <v>1022.0644</v>
      </c>
      <c r="H19">
        <v>38.18</v>
      </c>
      <c r="I19" s="2">
        <f t="shared" si="3"/>
        <v>1640.9763999999998</v>
      </c>
      <c r="J19">
        <v>8.61</v>
      </c>
      <c r="K19" s="2">
        <f t="shared" si="4"/>
        <v>370.05779999999999</v>
      </c>
      <c r="L19">
        <v>5.89</v>
      </c>
      <c r="M19" s="2">
        <f t="shared" si="5"/>
        <v>253.15219999999997</v>
      </c>
      <c r="N19">
        <v>0.8</v>
      </c>
      <c r="O19" s="2">
        <f t="shared" si="6"/>
        <v>34.384</v>
      </c>
      <c r="P19">
        <v>0.95</v>
      </c>
      <c r="Q19" s="2">
        <f t="shared" si="7"/>
        <v>40.830999999999996</v>
      </c>
      <c r="R19">
        <v>0.5</v>
      </c>
      <c r="S19" s="3">
        <f t="shared" si="0"/>
        <v>21.49</v>
      </c>
      <c r="T19" t="s">
        <v>94</v>
      </c>
      <c r="U19" s="4">
        <f t="shared" si="8"/>
        <v>4298.4297999999999</v>
      </c>
      <c r="V19" s="4">
        <f t="shared" si="9"/>
        <v>0.4297999999998865</v>
      </c>
      <c r="W19" s="3">
        <v>4298</v>
      </c>
      <c r="X19">
        <v>2115</v>
      </c>
      <c r="Y19">
        <v>2183</v>
      </c>
      <c r="Z19">
        <v>87</v>
      </c>
      <c r="AA19">
        <v>604</v>
      </c>
      <c r="AB19">
        <v>659</v>
      </c>
      <c r="AC19">
        <v>725</v>
      </c>
      <c r="AD19">
        <v>765</v>
      </c>
      <c r="AE19">
        <v>631</v>
      </c>
      <c r="AF19">
        <v>475</v>
      </c>
      <c r="AG19">
        <v>297</v>
      </c>
      <c r="AH19">
        <v>55</v>
      </c>
      <c r="AI19" s="5">
        <v>49.208934388087499</v>
      </c>
      <c r="AJ19" s="5">
        <v>50.791065611912501</v>
      </c>
      <c r="AK19" s="5">
        <v>2.0241973010702701</v>
      </c>
      <c r="AL19" s="5">
        <v>14.0530479292694</v>
      </c>
      <c r="AM19" s="5">
        <v>15.332712889716101</v>
      </c>
      <c r="AN19" s="5">
        <v>16.8683108422522</v>
      </c>
      <c r="AO19" s="5">
        <v>17.798976268031598</v>
      </c>
      <c r="AP19" s="5">
        <v>14.6812470916705</v>
      </c>
      <c r="AQ19" s="5">
        <v>11.051651931130801</v>
      </c>
      <c r="AR19" s="5">
        <v>6.9101907864122802</v>
      </c>
      <c r="AS19" s="5">
        <v>1.2796649604467201</v>
      </c>
    </row>
    <row r="20" spans="1:45" x14ac:dyDescent="0.25">
      <c r="A20" t="s">
        <v>95</v>
      </c>
      <c r="B20" t="s">
        <v>96</v>
      </c>
      <c r="C20" t="s">
        <v>51</v>
      </c>
      <c r="D20">
        <v>16.89</v>
      </c>
      <c r="E20" s="2">
        <f t="shared" si="1"/>
        <v>625.09889999999996</v>
      </c>
      <c r="F20">
        <v>25.89</v>
      </c>
      <c r="G20" s="2">
        <f t="shared" si="2"/>
        <v>958.18889999999999</v>
      </c>
      <c r="H20">
        <v>36.96</v>
      </c>
      <c r="I20" s="2">
        <f t="shared" si="3"/>
        <v>1367.8896</v>
      </c>
      <c r="J20">
        <v>13.34</v>
      </c>
      <c r="K20" s="2">
        <f t="shared" si="4"/>
        <v>493.71339999999998</v>
      </c>
      <c r="L20">
        <v>4.95</v>
      </c>
      <c r="M20" s="2">
        <f t="shared" si="5"/>
        <v>183.1995</v>
      </c>
      <c r="N20">
        <v>0.53</v>
      </c>
      <c r="O20" s="2">
        <f t="shared" si="6"/>
        <v>19.615300000000001</v>
      </c>
      <c r="P20">
        <v>1.06</v>
      </c>
      <c r="Q20" s="2">
        <f t="shared" si="7"/>
        <v>39.230600000000003</v>
      </c>
      <c r="R20">
        <v>0.38</v>
      </c>
      <c r="S20" s="3">
        <f t="shared" si="0"/>
        <v>14.063800000000001</v>
      </c>
      <c r="T20" t="s">
        <v>52</v>
      </c>
      <c r="U20" s="4">
        <f t="shared" si="8"/>
        <v>3701</v>
      </c>
      <c r="V20" s="4">
        <f t="shared" si="9"/>
        <v>0</v>
      </c>
      <c r="W20" s="3">
        <v>3701</v>
      </c>
      <c r="X20">
        <v>1732</v>
      </c>
      <c r="Y20">
        <v>1969</v>
      </c>
      <c r="Z20">
        <v>86</v>
      </c>
      <c r="AA20">
        <v>413</v>
      </c>
      <c r="AB20">
        <v>608</v>
      </c>
      <c r="AC20">
        <v>670</v>
      </c>
      <c r="AD20">
        <v>630</v>
      </c>
      <c r="AE20">
        <v>596</v>
      </c>
      <c r="AF20">
        <v>422</v>
      </c>
      <c r="AG20">
        <v>234</v>
      </c>
      <c r="AH20">
        <v>42</v>
      </c>
      <c r="AI20" s="5">
        <v>46.7981626587409</v>
      </c>
      <c r="AJ20" s="5">
        <v>53.2018373412591</v>
      </c>
      <c r="AK20" s="5">
        <v>2.3236962982977598</v>
      </c>
      <c r="AL20" s="5">
        <v>11.159146176708999</v>
      </c>
      <c r="AM20" s="5">
        <v>16.427992434477201</v>
      </c>
      <c r="AN20" s="5">
        <v>18.103215347203498</v>
      </c>
      <c r="AO20" s="5">
        <v>17.022426371251001</v>
      </c>
      <c r="AP20" s="5">
        <v>16.103755741691401</v>
      </c>
      <c r="AQ20" s="5">
        <v>11.4023236962983</v>
      </c>
      <c r="AR20" s="5">
        <v>6.3226155093218104</v>
      </c>
      <c r="AS20" s="5">
        <v>1.13482842475007</v>
      </c>
    </row>
    <row r="21" spans="1:45" x14ac:dyDescent="0.25">
      <c r="A21" t="s">
        <v>97</v>
      </c>
      <c r="B21" t="s">
        <v>98</v>
      </c>
      <c r="C21" t="s">
        <v>47</v>
      </c>
      <c r="D21">
        <v>26.63</v>
      </c>
      <c r="E21" s="2">
        <f t="shared" si="1"/>
        <v>2741.2921999999999</v>
      </c>
      <c r="F21">
        <v>16.72</v>
      </c>
      <c r="G21" s="2">
        <f t="shared" si="2"/>
        <v>1721.1568</v>
      </c>
      <c r="H21">
        <v>36.909999999999997</v>
      </c>
      <c r="I21" s="2">
        <f t="shared" si="3"/>
        <v>3799.5153999999998</v>
      </c>
      <c r="J21">
        <v>11.79</v>
      </c>
      <c r="K21" s="2">
        <f t="shared" si="4"/>
        <v>1213.6625999999999</v>
      </c>
      <c r="L21">
        <v>5.27</v>
      </c>
      <c r="M21" s="2">
        <f t="shared" si="5"/>
        <v>542.49379999999996</v>
      </c>
      <c r="N21">
        <v>0.84</v>
      </c>
      <c r="O21" s="2">
        <f t="shared" si="6"/>
        <v>86.469599999999986</v>
      </c>
      <c r="P21">
        <v>1.39</v>
      </c>
      <c r="Q21" s="2">
        <f t="shared" si="7"/>
        <v>143.0866</v>
      </c>
      <c r="R21">
        <v>0.45</v>
      </c>
      <c r="S21" s="3">
        <f t="shared" si="0"/>
        <v>46.323</v>
      </c>
      <c r="T21" t="s">
        <v>48</v>
      </c>
      <c r="U21" s="4">
        <f t="shared" si="8"/>
        <v>10294</v>
      </c>
      <c r="V21" s="4">
        <f t="shared" si="9"/>
        <v>0</v>
      </c>
      <c r="W21" s="3">
        <v>10294</v>
      </c>
      <c r="X21">
        <v>5014</v>
      </c>
      <c r="Y21">
        <v>5280</v>
      </c>
      <c r="Z21">
        <v>394</v>
      </c>
      <c r="AA21">
        <v>1740</v>
      </c>
      <c r="AB21">
        <v>1914</v>
      </c>
      <c r="AC21">
        <v>1711</v>
      </c>
      <c r="AD21">
        <v>1780</v>
      </c>
      <c r="AE21">
        <v>1485</v>
      </c>
      <c r="AF21">
        <v>847</v>
      </c>
      <c r="AG21">
        <v>350</v>
      </c>
      <c r="AH21">
        <v>73</v>
      </c>
      <c r="AI21" s="5">
        <v>48.707985234116997</v>
      </c>
      <c r="AJ21" s="5">
        <v>51.292014765883003</v>
      </c>
      <c r="AK21" s="5">
        <v>3.8274723139693001</v>
      </c>
      <c r="AL21" s="5">
        <v>16.903050320575101</v>
      </c>
      <c r="AM21" s="5">
        <v>18.593355352632599</v>
      </c>
      <c r="AN21" s="5">
        <v>16.621332815232201</v>
      </c>
      <c r="AO21" s="5">
        <v>17.291626190013599</v>
      </c>
      <c r="AP21" s="5">
        <v>14.425879152904599</v>
      </c>
      <c r="AQ21" s="5">
        <v>8.2280940353603995</v>
      </c>
      <c r="AR21" s="5">
        <v>3.40003885758694</v>
      </c>
      <c r="AS21" s="5">
        <v>0.70915096172527703</v>
      </c>
    </row>
    <row r="22" spans="1:45" x14ac:dyDescent="0.25">
      <c r="A22" t="s">
        <v>99</v>
      </c>
      <c r="B22" t="s">
        <v>100</v>
      </c>
      <c r="C22" t="s">
        <v>61</v>
      </c>
      <c r="D22">
        <v>30.65</v>
      </c>
      <c r="E22" s="2">
        <f t="shared" si="1"/>
        <v>3482.1464999999998</v>
      </c>
      <c r="F22">
        <v>15.74</v>
      </c>
      <c r="G22" s="2">
        <f t="shared" si="2"/>
        <v>1788.2214000000001</v>
      </c>
      <c r="H22">
        <v>35.54</v>
      </c>
      <c r="I22" s="2">
        <f t="shared" si="3"/>
        <v>4037.6994</v>
      </c>
      <c r="J22">
        <v>11.56</v>
      </c>
      <c r="K22" s="2">
        <f t="shared" si="4"/>
        <v>1313.3316</v>
      </c>
      <c r="L22">
        <v>4.21</v>
      </c>
      <c r="M22" s="2">
        <f t="shared" si="5"/>
        <v>478.29809999999998</v>
      </c>
      <c r="N22">
        <v>0.74</v>
      </c>
      <c r="O22" s="2">
        <f t="shared" si="6"/>
        <v>84.071399999999997</v>
      </c>
      <c r="P22">
        <v>1.17</v>
      </c>
      <c r="Q22" s="2">
        <f t="shared" si="7"/>
        <v>132.9237</v>
      </c>
      <c r="R22">
        <v>0.38</v>
      </c>
      <c r="S22" s="3">
        <f t="shared" si="0"/>
        <v>43.171800000000005</v>
      </c>
      <c r="T22" t="s">
        <v>62</v>
      </c>
      <c r="U22" s="4">
        <f t="shared" si="8"/>
        <v>11359.8639</v>
      </c>
      <c r="V22" s="4">
        <f t="shared" si="9"/>
        <v>-1.1360999999997148</v>
      </c>
      <c r="W22" s="3">
        <v>11361</v>
      </c>
      <c r="X22">
        <v>5466</v>
      </c>
      <c r="Y22">
        <v>5895</v>
      </c>
      <c r="Z22">
        <v>392</v>
      </c>
      <c r="AA22">
        <v>1765</v>
      </c>
      <c r="AB22">
        <v>1972</v>
      </c>
      <c r="AC22">
        <v>2142</v>
      </c>
      <c r="AD22">
        <v>2220</v>
      </c>
      <c r="AE22">
        <v>1630</v>
      </c>
      <c r="AF22">
        <v>805</v>
      </c>
      <c r="AG22">
        <v>378</v>
      </c>
      <c r="AH22">
        <v>57</v>
      </c>
      <c r="AI22" s="5">
        <v>48.111961975178197</v>
      </c>
      <c r="AJ22" s="5">
        <v>51.888038024821803</v>
      </c>
      <c r="AK22" s="5">
        <v>3.4504004929143601</v>
      </c>
      <c r="AL22" s="5">
        <v>15.5356042601884</v>
      </c>
      <c r="AM22" s="5">
        <v>17.357626969456899</v>
      </c>
      <c r="AN22" s="5">
        <v>18.853974121996298</v>
      </c>
      <c r="AO22" s="5">
        <v>19.540533403749698</v>
      </c>
      <c r="AP22" s="5">
        <v>14.347328580230601</v>
      </c>
      <c r="AQ22" s="5">
        <v>7.0856438693776997</v>
      </c>
      <c r="AR22" s="5">
        <v>3.3271719038817</v>
      </c>
      <c r="AS22" s="5">
        <v>0.50171639820438296</v>
      </c>
    </row>
    <row r="23" spans="1:45" x14ac:dyDescent="0.25">
      <c r="A23" t="s">
        <v>101</v>
      </c>
      <c r="B23" t="s">
        <v>102</v>
      </c>
      <c r="C23" t="s">
        <v>61</v>
      </c>
      <c r="D23">
        <v>30.99</v>
      </c>
      <c r="E23" s="2">
        <f t="shared" si="1"/>
        <v>3516.1253999999999</v>
      </c>
      <c r="F23">
        <v>16.079999999999998</v>
      </c>
      <c r="G23" s="2">
        <f t="shared" si="2"/>
        <v>1824.4367999999999</v>
      </c>
      <c r="H23">
        <v>34.590000000000003</v>
      </c>
      <c r="I23" s="2">
        <f t="shared" si="3"/>
        <v>3924.5814</v>
      </c>
      <c r="J23">
        <v>10.11</v>
      </c>
      <c r="K23" s="2">
        <f t="shared" si="4"/>
        <v>1147.0806</v>
      </c>
      <c r="L23">
        <v>5.88</v>
      </c>
      <c r="M23" s="2">
        <f t="shared" si="5"/>
        <v>667.14479999999992</v>
      </c>
      <c r="N23">
        <v>0.87</v>
      </c>
      <c r="O23" s="2">
        <f t="shared" si="6"/>
        <v>98.7102</v>
      </c>
      <c r="P23">
        <v>1.1000000000000001</v>
      </c>
      <c r="Q23" s="2">
        <f t="shared" si="7"/>
        <v>124.806</v>
      </c>
      <c r="R23">
        <v>0.38</v>
      </c>
      <c r="S23" s="3">
        <f t="shared" si="0"/>
        <v>43.114800000000002</v>
      </c>
      <c r="T23" t="s">
        <v>62</v>
      </c>
      <c r="U23" s="4">
        <f t="shared" si="8"/>
        <v>11346</v>
      </c>
      <c r="V23" s="4">
        <f t="shared" si="9"/>
        <v>0</v>
      </c>
      <c r="W23" s="3">
        <v>11346</v>
      </c>
      <c r="X23">
        <v>5593</v>
      </c>
      <c r="Y23">
        <v>5753</v>
      </c>
      <c r="Z23">
        <v>425</v>
      </c>
      <c r="AA23">
        <v>1910</v>
      </c>
      <c r="AB23">
        <v>2129</v>
      </c>
      <c r="AC23">
        <v>1776</v>
      </c>
      <c r="AD23">
        <v>1899</v>
      </c>
      <c r="AE23">
        <v>1680</v>
      </c>
      <c r="AF23">
        <v>969</v>
      </c>
      <c r="AG23">
        <v>472</v>
      </c>
      <c r="AH23">
        <v>86</v>
      </c>
      <c r="AI23" s="5">
        <v>49.294905693636501</v>
      </c>
      <c r="AJ23" s="5">
        <v>50.705094306363499</v>
      </c>
      <c r="AK23" s="5">
        <v>3.7458135025559698</v>
      </c>
      <c r="AL23" s="5">
        <v>16.834126564428001</v>
      </c>
      <c r="AM23" s="5">
        <v>18.764322228097999</v>
      </c>
      <c r="AN23" s="5">
        <v>15.6530936012692</v>
      </c>
      <c r="AO23" s="5">
        <v>16.737176097302999</v>
      </c>
      <c r="AP23" s="5">
        <v>14.806980433633001</v>
      </c>
      <c r="AQ23" s="5">
        <v>8.5404547858276008</v>
      </c>
      <c r="AR23" s="5">
        <v>4.1600564075445101</v>
      </c>
      <c r="AS23" s="5">
        <v>0.75797637934073703</v>
      </c>
    </row>
    <row r="24" spans="1:45" x14ac:dyDescent="0.25">
      <c r="A24" t="s">
        <v>103</v>
      </c>
      <c r="B24" t="s">
        <v>104</v>
      </c>
      <c r="C24" t="s">
        <v>61</v>
      </c>
      <c r="D24">
        <v>29.67</v>
      </c>
      <c r="E24" s="2">
        <f t="shared" si="1"/>
        <v>2611.5534000000002</v>
      </c>
      <c r="F24">
        <v>15.09</v>
      </c>
      <c r="G24" s="2">
        <f t="shared" si="2"/>
        <v>1328.2218</v>
      </c>
      <c r="H24">
        <v>34.49</v>
      </c>
      <c r="I24" s="2">
        <f t="shared" si="3"/>
        <v>3035.8098000000005</v>
      </c>
      <c r="J24">
        <v>13.3</v>
      </c>
      <c r="K24" s="2">
        <f t="shared" si="4"/>
        <v>1170.6660000000002</v>
      </c>
      <c r="L24">
        <v>5.03</v>
      </c>
      <c r="M24" s="2">
        <f t="shared" si="5"/>
        <v>442.74060000000003</v>
      </c>
      <c r="N24">
        <v>0.75</v>
      </c>
      <c r="O24" s="2">
        <f t="shared" si="6"/>
        <v>66.015000000000001</v>
      </c>
      <c r="P24">
        <v>1.28</v>
      </c>
      <c r="Q24" s="2">
        <f t="shared" si="7"/>
        <v>112.6656</v>
      </c>
      <c r="R24">
        <v>0.39</v>
      </c>
      <c r="S24" s="3">
        <f t="shared" si="0"/>
        <v>34.327800000000003</v>
      </c>
      <c r="T24" t="s">
        <v>62</v>
      </c>
      <c r="U24" s="4">
        <f t="shared" si="8"/>
        <v>8802.0000000000018</v>
      </c>
      <c r="V24" s="4">
        <f t="shared" si="9"/>
        <v>0</v>
      </c>
      <c r="W24" s="3">
        <v>8802</v>
      </c>
      <c r="X24">
        <v>4375</v>
      </c>
      <c r="Y24">
        <v>4427</v>
      </c>
      <c r="Z24">
        <v>277</v>
      </c>
      <c r="AA24">
        <v>1340</v>
      </c>
      <c r="AB24">
        <v>1688</v>
      </c>
      <c r="AC24">
        <v>1455</v>
      </c>
      <c r="AD24">
        <v>1375</v>
      </c>
      <c r="AE24">
        <v>1405</v>
      </c>
      <c r="AF24">
        <v>844</v>
      </c>
      <c r="AG24">
        <v>352</v>
      </c>
      <c r="AH24">
        <v>66</v>
      </c>
      <c r="AI24" s="5">
        <v>49.704612588048199</v>
      </c>
      <c r="AJ24" s="5">
        <v>50.295387411951801</v>
      </c>
      <c r="AK24" s="5">
        <v>3.1470120427175599</v>
      </c>
      <c r="AL24" s="5">
        <v>15.223812769825001</v>
      </c>
      <c r="AM24" s="5">
        <v>19.1774596682572</v>
      </c>
      <c r="AN24" s="5">
        <v>16.530334014996601</v>
      </c>
      <c r="AO24" s="5">
        <v>15.621449670529399</v>
      </c>
      <c r="AP24" s="5">
        <v>15.9622812997046</v>
      </c>
      <c r="AQ24" s="5">
        <v>9.5887298341286105</v>
      </c>
      <c r="AR24" s="5">
        <v>3.99909111565553</v>
      </c>
      <c r="AS24" s="5">
        <v>0.74982958418541201</v>
      </c>
    </row>
    <row r="25" spans="1:45" x14ac:dyDescent="0.25">
      <c r="A25" t="s">
        <v>105</v>
      </c>
      <c r="B25" t="s">
        <v>106</v>
      </c>
      <c r="C25" t="s">
        <v>61</v>
      </c>
      <c r="D25">
        <v>25.63</v>
      </c>
      <c r="E25" s="2">
        <f t="shared" si="1"/>
        <v>11924.8701</v>
      </c>
      <c r="F25">
        <v>18.25</v>
      </c>
      <c r="G25" s="2">
        <f t="shared" si="2"/>
        <v>8491.1774999999998</v>
      </c>
      <c r="H25">
        <v>34.369999999999997</v>
      </c>
      <c r="I25" s="2">
        <f t="shared" si="3"/>
        <v>15991.329900000001</v>
      </c>
      <c r="J25">
        <v>13.59</v>
      </c>
      <c r="K25" s="2">
        <f t="shared" si="4"/>
        <v>6323.0193000000008</v>
      </c>
      <c r="L25">
        <v>5.68</v>
      </c>
      <c r="M25" s="2">
        <f t="shared" si="5"/>
        <v>2642.7336</v>
      </c>
      <c r="N25">
        <v>0.85</v>
      </c>
      <c r="O25" s="2">
        <f t="shared" si="6"/>
        <v>395.47949999999997</v>
      </c>
      <c r="P25">
        <v>1.1200000000000001</v>
      </c>
      <c r="Q25" s="2">
        <f t="shared" si="7"/>
        <v>521.1024000000001</v>
      </c>
      <c r="R25">
        <v>0.52</v>
      </c>
      <c r="S25" s="3">
        <f t="shared" si="0"/>
        <v>241.94040000000001</v>
      </c>
      <c r="T25" t="s">
        <v>62</v>
      </c>
      <c r="U25" s="4">
        <f t="shared" si="8"/>
        <v>46531.652699999999</v>
      </c>
      <c r="V25" s="4">
        <f t="shared" si="9"/>
        <v>4.6526999999987311</v>
      </c>
      <c r="W25" s="3">
        <v>46527</v>
      </c>
      <c r="X25">
        <v>23599</v>
      </c>
      <c r="Y25">
        <v>22928</v>
      </c>
      <c r="Z25">
        <v>1668</v>
      </c>
      <c r="AA25">
        <v>7552</v>
      </c>
      <c r="AB25">
        <v>8926</v>
      </c>
      <c r="AC25">
        <v>7367</v>
      </c>
      <c r="AD25">
        <v>7728</v>
      </c>
      <c r="AE25">
        <v>6891</v>
      </c>
      <c r="AF25">
        <v>3994</v>
      </c>
      <c r="AG25">
        <v>1998</v>
      </c>
      <c r="AH25">
        <v>403</v>
      </c>
      <c r="AI25" s="5">
        <v>50.721086680851997</v>
      </c>
      <c r="AJ25" s="5">
        <v>49.278913319148003</v>
      </c>
      <c r="AK25" s="5">
        <v>3.5850151524921001</v>
      </c>
      <c r="AL25" s="5">
        <v>16.231435510563799</v>
      </c>
      <c r="AM25" s="5">
        <v>19.184559503084198</v>
      </c>
      <c r="AN25" s="5">
        <v>15.8338169235068</v>
      </c>
      <c r="AO25" s="5">
        <v>16.609710490682801</v>
      </c>
      <c r="AP25" s="5">
        <v>14.810755045457499</v>
      </c>
      <c r="AQ25" s="5">
        <v>8.5842629011111793</v>
      </c>
      <c r="AR25" s="5">
        <v>4.2942807402153598</v>
      </c>
      <c r="AS25" s="5">
        <v>0.86616373288628101</v>
      </c>
    </row>
    <row r="26" spans="1:45" x14ac:dyDescent="0.25">
      <c r="A26" t="s">
        <v>107</v>
      </c>
      <c r="B26" t="s">
        <v>108</v>
      </c>
      <c r="C26" t="s">
        <v>75</v>
      </c>
      <c r="D26">
        <v>27.69</v>
      </c>
      <c r="E26" s="2">
        <f t="shared" si="1"/>
        <v>1341.3036000000002</v>
      </c>
      <c r="F26">
        <v>17.11</v>
      </c>
      <c r="G26" s="2">
        <f t="shared" si="2"/>
        <v>828.80840000000001</v>
      </c>
      <c r="H26">
        <v>33.979999999999997</v>
      </c>
      <c r="I26" s="2">
        <f t="shared" si="3"/>
        <v>1645.9911999999999</v>
      </c>
      <c r="J26">
        <v>11.89</v>
      </c>
      <c r="K26" s="2">
        <f t="shared" si="4"/>
        <v>575.95159999999998</v>
      </c>
      <c r="L26">
        <v>6.91</v>
      </c>
      <c r="M26" s="2">
        <f t="shared" si="5"/>
        <v>334.72039999999998</v>
      </c>
      <c r="N26">
        <v>0.69</v>
      </c>
      <c r="O26" s="2">
        <f t="shared" si="6"/>
        <v>33.423599999999993</v>
      </c>
      <c r="P26">
        <v>1.18</v>
      </c>
      <c r="Q26" s="2">
        <f t="shared" si="7"/>
        <v>57.159199999999998</v>
      </c>
      <c r="R26">
        <v>0.54</v>
      </c>
      <c r="S26" s="3">
        <f t="shared" si="0"/>
        <v>26.157600000000002</v>
      </c>
      <c r="T26" t="s">
        <v>76</v>
      </c>
      <c r="U26" s="4">
        <f t="shared" si="8"/>
        <v>4843.5155999999997</v>
      </c>
      <c r="V26" s="4">
        <f t="shared" si="9"/>
        <v>-0.48440000000027794</v>
      </c>
      <c r="W26" s="3">
        <v>4844</v>
      </c>
      <c r="X26">
        <v>2312</v>
      </c>
      <c r="Y26">
        <v>2532</v>
      </c>
      <c r="Z26">
        <v>167</v>
      </c>
      <c r="AA26">
        <v>706</v>
      </c>
      <c r="AB26">
        <v>775</v>
      </c>
      <c r="AC26">
        <v>818</v>
      </c>
      <c r="AD26">
        <v>891</v>
      </c>
      <c r="AE26">
        <v>763</v>
      </c>
      <c r="AF26">
        <v>483</v>
      </c>
      <c r="AG26">
        <v>209</v>
      </c>
      <c r="AH26">
        <v>32</v>
      </c>
      <c r="AI26" s="5">
        <v>47.729149463253499</v>
      </c>
      <c r="AJ26" s="5">
        <v>52.270850536746501</v>
      </c>
      <c r="AK26" s="5">
        <v>3.4475639966969398</v>
      </c>
      <c r="AL26" s="5">
        <v>14.5747316267547</v>
      </c>
      <c r="AM26" s="5">
        <v>15.9991742361685</v>
      </c>
      <c r="AN26" s="5">
        <v>16.886870355078401</v>
      </c>
      <c r="AO26" s="5">
        <v>18.393889347646599</v>
      </c>
      <c r="AP26" s="5">
        <v>15.7514450867052</v>
      </c>
      <c r="AQ26" s="5">
        <v>9.9710982658959502</v>
      </c>
      <c r="AR26" s="5">
        <v>4.3146160198183301</v>
      </c>
      <c r="AS26" s="5">
        <v>0.66061106523534296</v>
      </c>
    </row>
    <row r="27" spans="1:45" x14ac:dyDescent="0.25">
      <c r="A27" t="s">
        <v>109</v>
      </c>
      <c r="B27" t="s">
        <v>110</v>
      </c>
      <c r="C27" t="s">
        <v>47</v>
      </c>
      <c r="D27">
        <v>31.88</v>
      </c>
      <c r="E27" s="2">
        <f t="shared" si="1"/>
        <v>2688.4404</v>
      </c>
      <c r="F27">
        <v>14.37</v>
      </c>
      <c r="G27" s="2">
        <f t="shared" si="2"/>
        <v>1211.8220999999999</v>
      </c>
      <c r="H27">
        <v>33.840000000000003</v>
      </c>
      <c r="I27" s="2">
        <f t="shared" si="3"/>
        <v>2853.7272000000003</v>
      </c>
      <c r="J27">
        <v>10.34</v>
      </c>
      <c r="K27" s="2">
        <f t="shared" si="4"/>
        <v>871.97220000000004</v>
      </c>
      <c r="L27">
        <v>6.24</v>
      </c>
      <c r="M27" s="2">
        <f t="shared" si="5"/>
        <v>526.2192</v>
      </c>
      <c r="N27">
        <v>1.1399999999999999</v>
      </c>
      <c r="O27" s="2">
        <f t="shared" si="6"/>
        <v>96.136199999999988</v>
      </c>
      <c r="P27">
        <v>1.44</v>
      </c>
      <c r="Q27" s="2">
        <f t="shared" si="7"/>
        <v>121.43520000000001</v>
      </c>
      <c r="R27">
        <v>0.74</v>
      </c>
      <c r="S27" s="3">
        <f t="shared" si="0"/>
        <v>62.404200000000003</v>
      </c>
      <c r="T27" t="s">
        <v>48</v>
      </c>
      <c r="U27" s="4">
        <f t="shared" si="8"/>
        <v>8432.1566999999995</v>
      </c>
      <c r="V27" s="4">
        <f t="shared" si="9"/>
        <v>-0.84330000000045402</v>
      </c>
      <c r="W27" s="3">
        <v>8433</v>
      </c>
      <c r="X27">
        <v>4314</v>
      </c>
      <c r="Y27">
        <v>4119</v>
      </c>
      <c r="Z27">
        <v>231</v>
      </c>
      <c r="AA27">
        <v>1201</v>
      </c>
      <c r="AB27">
        <v>2196</v>
      </c>
      <c r="AC27">
        <v>1879</v>
      </c>
      <c r="AD27">
        <v>1318</v>
      </c>
      <c r="AE27">
        <v>875</v>
      </c>
      <c r="AF27">
        <v>451</v>
      </c>
      <c r="AG27">
        <v>235</v>
      </c>
      <c r="AH27">
        <v>47</v>
      </c>
      <c r="AI27" s="5">
        <v>51.156172180718599</v>
      </c>
      <c r="AJ27" s="5">
        <v>48.843827819281401</v>
      </c>
      <c r="AK27" s="5">
        <v>2.7392387050871601</v>
      </c>
      <c r="AL27" s="5">
        <v>14.2416696312107</v>
      </c>
      <c r="AM27" s="5">
        <v>26.040554962646699</v>
      </c>
      <c r="AN27" s="5">
        <v>22.281513103284698</v>
      </c>
      <c r="AO27" s="5">
        <v>15.629076248073</v>
      </c>
      <c r="AP27" s="5">
        <v>10.3759041859362</v>
      </c>
      <c r="AQ27" s="5">
        <v>5.3480374718368298</v>
      </c>
      <c r="AR27" s="5">
        <v>2.7866714099371501</v>
      </c>
      <c r="AS27" s="5">
        <v>0.55733428198742996</v>
      </c>
    </row>
    <row r="28" spans="1:45" x14ac:dyDescent="0.25">
      <c r="A28" t="s">
        <v>111</v>
      </c>
      <c r="B28" t="s">
        <v>112</v>
      </c>
      <c r="C28" t="s">
        <v>113</v>
      </c>
      <c r="D28">
        <v>22.75</v>
      </c>
      <c r="E28" s="2">
        <f t="shared" si="1"/>
        <v>2855.3525</v>
      </c>
      <c r="F28">
        <v>21.83</v>
      </c>
      <c r="G28" s="2">
        <f t="shared" si="2"/>
        <v>2739.8832999999995</v>
      </c>
      <c r="H28">
        <v>33.729999999999997</v>
      </c>
      <c r="I28" s="2">
        <f t="shared" si="3"/>
        <v>4233.4522999999999</v>
      </c>
      <c r="J28">
        <v>12.81</v>
      </c>
      <c r="K28" s="2">
        <f t="shared" si="4"/>
        <v>1607.7830999999999</v>
      </c>
      <c r="L28">
        <v>6.71</v>
      </c>
      <c r="M28" s="2">
        <f t="shared" si="5"/>
        <v>842.17210000000011</v>
      </c>
      <c r="N28">
        <v>0.69</v>
      </c>
      <c r="O28" s="2">
        <f t="shared" si="6"/>
        <v>86.601899999999986</v>
      </c>
      <c r="P28">
        <v>1.1299999999999999</v>
      </c>
      <c r="Q28" s="2">
        <f t="shared" si="7"/>
        <v>141.8263</v>
      </c>
      <c r="R28">
        <v>0.35</v>
      </c>
      <c r="S28" s="3">
        <f t="shared" si="0"/>
        <v>43.928499999999993</v>
      </c>
      <c r="T28" t="s">
        <v>114</v>
      </c>
      <c r="U28" s="4">
        <f t="shared" si="8"/>
        <v>12551</v>
      </c>
      <c r="V28" s="4">
        <f t="shared" si="9"/>
        <v>0</v>
      </c>
      <c r="W28" s="3">
        <v>12551</v>
      </c>
      <c r="X28">
        <v>6289</v>
      </c>
      <c r="Y28">
        <v>6262</v>
      </c>
      <c r="Z28">
        <v>415</v>
      </c>
      <c r="AA28">
        <v>1972</v>
      </c>
      <c r="AB28">
        <v>2239</v>
      </c>
      <c r="AC28">
        <v>2119</v>
      </c>
      <c r="AD28">
        <v>2145</v>
      </c>
      <c r="AE28">
        <v>1839</v>
      </c>
      <c r="AF28">
        <v>1153</v>
      </c>
      <c r="AG28">
        <v>586</v>
      </c>
      <c r="AH28">
        <v>83</v>
      </c>
      <c r="AI28" s="5">
        <v>50.107561150505902</v>
      </c>
      <c r="AJ28" s="5">
        <v>49.892438849494098</v>
      </c>
      <c r="AK28" s="5">
        <v>3.3065094414787701</v>
      </c>
      <c r="AL28" s="5">
        <v>15.711895466496699</v>
      </c>
      <c r="AM28" s="5">
        <v>17.839215998725201</v>
      </c>
      <c r="AN28" s="5">
        <v>16.883116883116902</v>
      </c>
      <c r="AO28" s="5">
        <v>17.0902716914987</v>
      </c>
      <c r="AP28" s="5">
        <v>14.6522189466975</v>
      </c>
      <c r="AQ28" s="5">
        <v>9.1865190024699199</v>
      </c>
      <c r="AR28" s="5">
        <v>4.6689506812206201</v>
      </c>
      <c r="AS28" s="5">
        <v>0.66130188829575298</v>
      </c>
    </row>
    <row r="29" spans="1:45" x14ac:dyDescent="0.25">
      <c r="A29" t="s">
        <v>115</v>
      </c>
      <c r="B29" t="s">
        <v>116</v>
      </c>
      <c r="C29" t="s">
        <v>51</v>
      </c>
      <c r="D29">
        <v>22.26</v>
      </c>
      <c r="E29" s="2">
        <f t="shared" si="1"/>
        <v>1384.5720000000001</v>
      </c>
      <c r="F29">
        <v>19.760000000000002</v>
      </c>
      <c r="G29" s="2">
        <f t="shared" si="2"/>
        <v>1229.0720000000001</v>
      </c>
      <c r="H29">
        <v>33.409999999999997</v>
      </c>
      <c r="I29" s="2">
        <f t="shared" si="3"/>
        <v>2078.1019999999999</v>
      </c>
      <c r="J29">
        <v>16.41</v>
      </c>
      <c r="K29" s="2">
        <f t="shared" si="4"/>
        <v>1020.702</v>
      </c>
      <c r="L29">
        <v>5.86</v>
      </c>
      <c r="M29" s="2">
        <f t="shared" si="5"/>
        <v>364.49200000000002</v>
      </c>
      <c r="N29">
        <v>0.73</v>
      </c>
      <c r="O29" s="2">
        <f t="shared" si="6"/>
        <v>45.405999999999992</v>
      </c>
      <c r="P29">
        <v>1.1599999999999999</v>
      </c>
      <c r="Q29" s="2">
        <f t="shared" si="7"/>
        <v>72.152000000000001</v>
      </c>
      <c r="R29">
        <v>0.41</v>
      </c>
      <c r="S29" s="3">
        <f t="shared" si="0"/>
        <v>25.501999999999999</v>
      </c>
      <c r="T29" t="s">
        <v>52</v>
      </c>
      <c r="U29" s="4">
        <f t="shared" si="8"/>
        <v>6220</v>
      </c>
      <c r="V29" s="4">
        <f t="shared" si="9"/>
        <v>0</v>
      </c>
      <c r="W29" s="3">
        <v>6220</v>
      </c>
      <c r="X29">
        <v>3123</v>
      </c>
      <c r="Y29">
        <v>3097</v>
      </c>
      <c r="Z29">
        <v>202</v>
      </c>
      <c r="AA29">
        <v>990</v>
      </c>
      <c r="AB29">
        <v>1224</v>
      </c>
      <c r="AC29">
        <v>1109</v>
      </c>
      <c r="AD29">
        <v>922</v>
      </c>
      <c r="AE29">
        <v>863</v>
      </c>
      <c r="AF29">
        <v>595</v>
      </c>
      <c r="AG29">
        <v>265</v>
      </c>
      <c r="AH29">
        <v>50</v>
      </c>
      <c r="AI29" s="5">
        <v>50.209003215434102</v>
      </c>
      <c r="AJ29" s="5">
        <v>49.790996784565898</v>
      </c>
      <c r="AK29" s="5">
        <v>3.2475884244372999</v>
      </c>
      <c r="AL29" s="5">
        <v>15.9163987138264</v>
      </c>
      <c r="AM29" s="5">
        <v>19.6784565916399</v>
      </c>
      <c r="AN29" s="5">
        <v>17.8295819935691</v>
      </c>
      <c r="AO29" s="5">
        <v>14.8231511254019</v>
      </c>
      <c r="AP29" s="5">
        <v>13.8745980707395</v>
      </c>
      <c r="AQ29" s="5">
        <v>9.5659163987138296</v>
      </c>
      <c r="AR29" s="5">
        <v>4.2604501607716996</v>
      </c>
      <c r="AS29" s="5">
        <v>0.80385852090032195</v>
      </c>
    </row>
    <row r="30" spans="1:45" x14ac:dyDescent="0.25">
      <c r="A30" t="s">
        <v>117</v>
      </c>
      <c r="B30" t="s">
        <v>118</v>
      </c>
      <c r="C30" t="s">
        <v>81</v>
      </c>
      <c r="D30">
        <v>19.63</v>
      </c>
      <c r="E30" s="2">
        <f t="shared" si="1"/>
        <v>4321.5445</v>
      </c>
      <c r="F30">
        <v>25.45</v>
      </c>
      <c r="G30" s="2">
        <f t="shared" si="2"/>
        <v>5602.8175000000001</v>
      </c>
      <c r="H30">
        <v>32.630000000000003</v>
      </c>
      <c r="I30" s="2">
        <f t="shared" si="3"/>
        <v>7183.4945000000007</v>
      </c>
      <c r="J30">
        <v>11.51</v>
      </c>
      <c r="K30" s="2">
        <f t="shared" si="4"/>
        <v>2533.9265</v>
      </c>
      <c r="L30">
        <v>8.08</v>
      </c>
      <c r="M30" s="2">
        <f t="shared" si="5"/>
        <v>1778.8120000000001</v>
      </c>
      <c r="N30">
        <v>0.79</v>
      </c>
      <c r="O30" s="2">
        <f t="shared" si="6"/>
        <v>173.91850000000002</v>
      </c>
      <c r="P30">
        <v>1.27</v>
      </c>
      <c r="Q30" s="2">
        <f t="shared" si="7"/>
        <v>279.59050000000002</v>
      </c>
      <c r="R30">
        <v>0.65</v>
      </c>
      <c r="S30" s="3">
        <f t="shared" si="0"/>
        <v>143.0975</v>
      </c>
      <c r="T30" t="s">
        <v>82</v>
      </c>
      <c r="U30" s="4">
        <f t="shared" si="8"/>
        <v>22017.201500000003</v>
      </c>
      <c r="V30" s="4">
        <f t="shared" si="9"/>
        <v>2.2015000000028522</v>
      </c>
      <c r="W30" s="3">
        <v>22015</v>
      </c>
      <c r="X30">
        <v>11395</v>
      </c>
      <c r="Y30">
        <v>10620</v>
      </c>
      <c r="Z30">
        <v>693</v>
      </c>
      <c r="AA30">
        <v>3654</v>
      </c>
      <c r="AB30">
        <v>4058</v>
      </c>
      <c r="AC30">
        <v>3685</v>
      </c>
      <c r="AD30">
        <v>3940</v>
      </c>
      <c r="AE30">
        <v>3281</v>
      </c>
      <c r="AF30">
        <v>1766</v>
      </c>
      <c r="AG30">
        <v>796</v>
      </c>
      <c r="AH30">
        <v>142</v>
      </c>
      <c r="AI30" s="5">
        <v>51.760163524869398</v>
      </c>
      <c r="AJ30" s="5">
        <v>48.239836475130602</v>
      </c>
      <c r="AK30" s="5">
        <v>3.1478537360890302</v>
      </c>
      <c r="AL30" s="5">
        <v>16.597774244833101</v>
      </c>
      <c r="AM30" s="5">
        <v>18.432886668180799</v>
      </c>
      <c r="AN30" s="5">
        <v>16.7385873268226</v>
      </c>
      <c r="AO30" s="5">
        <v>17.896888485123799</v>
      </c>
      <c r="AP30" s="5">
        <v>14.903474903474899</v>
      </c>
      <c r="AQ30" s="5">
        <v>8.0218033159209607</v>
      </c>
      <c r="AR30" s="5">
        <v>3.6157165568930298</v>
      </c>
      <c r="AS30" s="5">
        <v>0.64501476266182101</v>
      </c>
    </row>
    <row r="31" spans="1:45" x14ac:dyDescent="0.25">
      <c r="A31" t="s">
        <v>119</v>
      </c>
      <c r="B31" t="s">
        <v>120</v>
      </c>
      <c r="C31" t="s">
        <v>47</v>
      </c>
      <c r="D31">
        <v>24.73</v>
      </c>
      <c r="E31" s="2">
        <f t="shared" si="1"/>
        <v>75941.625899999999</v>
      </c>
      <c r="F31">
        <v>17.989999999999998</v>
      </c>
      <c r="G31" s="2">
        <f t="shared" si="2"/>
        <v>55244.231699999997</v>
      </c>
      <c r="H31">
        <v>32.47</v>
      </c>
      <c r="I31" s="2">
        <f t="shared" si="3"/>
        <v>99709.850099999996</v>
      </c>
      <c r="J31">
        <v>13.01</v>
      </c>
      <c r="K31" s="2">
        <f t="shared" si="4"/>
        <v>39951.498299999999</v>
      </c>
      <c r="L31">
        <v>8.4600000000000009</v>
      </c>
      <c r="M31" s="2">
        <f t="shared" si="5"/>
        <v>25979.221800000003</v>
      </c>
      <c r="N31">
        <v>1.66</v>
      </c>
      <c r="O31" s="2">
        <f t="shared" si="6"/>
        <v>5097.5778</v>
      </c>
      <c r="P31">
        <v>1.1200000000000001</v>
      </c>
      <c r="Q31" s="2">
        <f t="shared" si="7"/>
        <v>3439.3296</v>
      </c>
      <c r="R31">
        <v>0.56000000000000005</v>
      </c>
      <c r="S31" s="3">
        <f t="shared" si="0"/>
        <v>1719.6648</v>
      </c>
      <c r="T31" t="s">
        <v>48</v>
      </c>
      <c r="U31" s="4">
        <f t="shared" si="8"/>
        <v>307083</v>
      </c>
      <c r="V31" s="4">
        <f t="shared" si="9"/>
        <v>0</v>
      </c>
      <c r="W31" s="3">
        <v>307083</v>
      </c>
      <c r="X31">
        <v>154495</v>
      </c>
      <c r="Y31">
        <v>152588</v>
      </c>
      <c r="Z31">
        <v>10349</v>
      </c>
      <c r="AA31">
        <v>54125</v>
      </c>
      <c r="AB31">
        <v>70122</v>
      </c>
      <c r="AC31">
        <v>57685</v>
      </c>
      <c r="AD31">
        <v>49486</v>
      </c>
      <c r="AE31">
        <v>36679</v>
      </c>
      <c r="AF31">
        <v>19433</v>
      </c>
      <c r="AG31">
        <v>7747</v>
      </c>
      <c r="AH31">
        <v>1457</v>
      </c>
      <c r="AI31" s="5">
        <v>50.310502372322802</v>
      </c>
      <c r="AJ31" s="5">
        <v>49.689497627677198</v>
      </c>
      <c r="AK31" s="5">
        <v>3.3700986378275601</v>
      </c>
      <c r="AL31" s="5">
        <v>17.625527951726401</v>
      </c>
      <c r="AM31" s="5">
        <v>22.834868748839899</v>
      </c>
      <c r="AN31" s="5">
        <v>18.784823647027</v>
      </c>
      <c r="AO31" s="5">
        <v>16.114861454395101</v>
      </c>
      <c r="AP31" s="5">
        <v>11.9443277550369</v>
      </c>
      <c r="AQ31" s="5">
        <v>6.3282565299935198</v>
      </c>
      <c r="AR31" s="5">
        <v>2.5227707167117699</v>
      </c>
      <c r="AS31" s="5">
        <v>0.47446455844185398</v>
      </c>
    </row>
    <row r="32" spans="1:45" x14ac:dyDescent="0.25">
      <c r="A32" t="s">
        <v>121</v>
      </c>
      <c r="B32" t="s">
        <v>122</v>
      </c>
      <c r="C32" t="s">
        <v>113</v>
      </c>
      <c r="D32">
        <v>22.56</v>
      </c>
      <c r="E32" s="2">
        <f t="shared" si="1"/>
        <v>1580.7791999999999</v>
      </c>
      <c r="F32">
        <v>22.96</v>
      </c>
      <c r="G32" s="2">
        <f t="shared" si="2"/>
        <v>1608.8072</v>
      </c>
      <c r="H32">
        <v>32.47</v>
      </c>
      <c r="I32" s="2">
        <f t="shared" si="3"/>
        <v>2275.1728999999996</v>
      </c>
      <c r="J32">
        <v>12.33</v>
      </c>
      <c r="K32" s="2">
        <f t="shared" si="4"/>
        <v>863.96309999999994</v>
      </c>
      <c r="L32">
        <v>7.54</v>
      </c>
      <c r="M32" s="2">
        <f t="shared" si="5"/>
        <v>528.32780000000002</v>
      </c>
      <c r="N32">
        <v>0.75</v>
      </c>
      <c r="O32" s="2">
        <f t="shared" si="6"/>
        <v>52.552500000000002</v>
      </c>
      <c r="P32">
        <v>1.04</v>
      </c>
      <c r="Q32" s="2">
        <f t="shared" si="7"/>
        <v>72.872800000000012</v>
      </c>
      <c r="R32">
        <v>0.37</v>
      </c>
      <c r="S32" s="3">
        <f t="shared" si="0"/>
        <v>25.925900000000002</v>
      </c>
      <c r="T32" t="s">
        <v>114</v>
      </c>
      <c r="U32" s="4">
        <f t="shared" si="8"/>
        <v>7008.4013999999997</v>
      </c>
      <c r="V32" s="4">
        <f t="shared" si="9"/>
        <v>1.4013999999997395</v>
      </c>
      <c r="W32" s="3">
        <v>7007</v>
      </c>
      <c r="X32">
        <v>3518</v>
      </c>
      <c r="Y32">
        <v>3489</v>
      </c>
      <c r="Z32">
        <v>215</v>
      </c>
      <c r="AA32">
        <v>1099</v>
      </c>
      <c r="AB32">
        <v>1349</v>
      </c>
      <c r="AC32">
        <v>1188</v>
      </c>
      <c r="AD32">
        <v>1193</v>
      </c>
      <c r="AE32">
        <v>1055</v>
      </c>
      <c r="AF32">
        <v>629</v>
      </c>
      <c r="AG32">
        <v>241</v>
      </c>
      <c r="AH32">
        <v>38</v>
      </c>
      <c r="AI32" s="5">
        <v>50.2069359212216</v>
      </c>
      <c r="AJ32" s="5">
        <v>49.7930640787784</v>
      </c>
      <c r="AK32" s="5">
        <v>3.06836021121735</v>
      </c>
      <c r="AL32" s="5">
        <v>15.684315684315701</v>
      </c>
      <c r="AM32" s="5">
        <v>19.252176395033501</v>
      </c>
      <c r="AN32" s="5">
        <v>16.9544740973312</v>
      </c>
      <c r="AO32" s="5">
        <v>17.025831311545598</v>
      </c>
      <c r="AP32" s="5">
        <v>15.056372199229299</v>
      </c>
      <c r="AQ32" s="5">
        <v>8.9767375481661205</v>
      </c>
      <c r="AR32" s="5">
        <v>3.4394177251320102</v>
      </c>
      <c r="AS32" s="5">
        <v>0.54231482802911402</v>
      </c>
    </row>
    <row r="33" spans="1:45" x14ac:dyDescent="0.25">
      <c r="A33" t="s">
        <v>123</v>
      </c>
      <c r="B33" t="s">
        <v>124</v>
      </c>
      <c r="C33" t="s">
        <v>81</v>
      </c>
      <c r="D33">
        <v>14.74</v>
      </c>
      <c r="E33" s="2">
        <f t="shared" si="1"/>
        <v>4017.0922000000005</v>
      </c>
      <c r="F33">
        <v>29.67</v>
      </c>
      <c r="G33" s="2">
        <f t="shared" si="2"/>
        <v>8085.9651000000003</v>
      </c>
      <c r="H33">
        <v>32.36</v>
      </c>
      <c r="I33" s="2">
        <f t="shared" si="3"/>
        <v>8819.0707999999995</v>
      </c>
      <c r="J33">
        <v>14.1</v>
      </c>
      <c r="K33" s="2">
        <f t="shared" si="4"/>
        <v>3842.6729999999998</v>
      </c>
      <c r="L33">
        <v>7.07</v>
      </c>
      <c r="M33" s="2">
        <f t="shared" si="5"/>
        <v>1926.7871000000002</v>
      </c>
      <c r="N33">
        <v>0.68</v>
      </c>
      <c r="O33" s="2">
        <f t="shared" si="6"/>
        <v>185.32040000000001</v>
      </c>
      <c r="P33">
        <v>0.97</v>
      </c>
      <c r="Q33" s="2">
        <f t="shared" si="7"/>
        <v>264.35410000000002</v>
      </c>
      <c r="R33">
        <v>0.4</v>
      </c>
      <c r="S33" s="3">
        <f t="shared" si="0"/>
        <v>109.012</v>
      </c>
      <c r="T33" t="s">
        <v>82</v>
      </c>
      <c r="U33" s="4">
        <f t="shared" si="8"/>
        <v>27250.274699999998</v>
      </c>
      <c r="V33" s="4">
        <f t="shared" si="9"/>
        <v>-2.7253000000018801</v>
      </c>
      <c r="W33" s="3">
        <v>27253</v>
      </c>
      <c r="X33">
        <v>13771</v>
      </c>
      <c r="Y33">
        <v>13482</v>
      </c>
      <c r="Z33">
        <v>903</v>
      </c>
      <c r="AA33">
        <v>4393</v>
      </c>
      <c r="AB33">
        <v>4878</v>
      </c>
      <c r="AC33">
        <v>4373</v>
      </c>
      <c r="AD33">
        <v>5106</v>
      </c>
      <c r="AE33">
        <v>4025</v>
      </c>
      <c r="AF33">
        <v>2352</v>
      </c>
      <c r="AG33">
        <v>1037</v>
      </c>
      <c r="AH33">
        <v>186</v>
      </c>
      <c r="AI33" s="5">
        <v>50.530216856859802</v>
      </c>
      <c r="AJ33" s="5">
        <v>49.469783143140198</v>
      </c>
      <c r="AK33" s="5">
        <v>3.3133966902726302</v>
      </c>
      <c r="AL33" s="5">
        <v>16.119326312699499</v>
      </c>
      <c r="AM33" s="5">
        <v>17.8989469049279</v>
      </c>
      <c r="AN33" s="5">
        <v>16.045939896525201</v>
      </c>
      <c r="AO33" s="5">
        <v>18.7355520493157</v>
      </c>
      <c r="AP33" s="5">
        <v>14.7690162550912</v>
      </c>
      <c r="AQ33" s="5">
        <v>8.63024254210546</v>
      </c>
      <c r="AR33" s="5">
        <v>3.80508567864088</v>
      </c>
      <c r="AS33" s="5">
        <v>0.68249367042160503</v>
      </c>
    </row>
    <row r="34" spans="1:45" x14ac:dyDescent="0.25">
      <c r="A34" t="s">
        <v>125</v>
      </c>
      <c r="B34" t="s">
        <v>126</v>
      </c>
      <c r="C34" t="s">
        <v>113</v>
      </c>
      <c r="D34">
        <v>28.25</v>
      </c>
      <c r="E34" s="2">
        <f t="shared" si="1"/>
        <v>5686.16</v>
      </c>
      <c r="F34">
        <v>17.190000000000001</v>
      </c>
      <c r="G34" s="2">
        <f t="shared" si="2"/>
        <v>3460.0032000000001</v>
      </c>
      <c r="H34">
        <v>32.24</v>
      </c>
      <c r="I34" s="2">
        <f t="shared" si="3"/>
        <v>6489.2672000000011</v>
      </c>
      <c r="J34">
        <v>12.57</v>
      </c>
      <c r="K34" s="2">
        <f t="shared" si="4"/>
        <v>2530.0895999999998</v>
      </c>
      <c r="L34">
        <v>7.16</v>
      </c>
      <c r="M34" s="2">
        <f t="shared" si="5"/>
        <v>1441.1648</v>
      </c>
      <c r="N34">
        <v>0.69</v>
      </c>
      <c r="O34" s="2">
        <f t="shared" si="6"/>
        <v>138.88319999999999</v>
      </c>
      <c r="P34">
        <v>1.45</v>
      </c>
      <c r="Q34" s="2">
        <f t="shared" si="7"/>
        <v>291.85599999999999</v>
      </c>
      <c r="R34">
        <v>0.44</v>
      </c>
      <c r="S34" s="3">
        <f t="shared" ref="S34:S65" si="10">R34*W34/100</f>
        <v>88.563199999999995</v>
      </c>
      <c r="T34" t="s">
        <v>114</v>
      </c>
      <c r="U34" s="4">
        <f t="shared" si="8"/>
        <v>20125.9872</v>
      </c>
      <c r="V34" s="4">
        <f t="shared" si="9"/>
        <v>-2.0128000000004249</v>
      </c>
      <c r="W34" s="3">
        <v>20128</v>
      </c>
      <c r="X34">
        <v>9994</v>
      </c>
      <c r="Y34">
        <v>10134</v>
      </c>
      <c r="Z34">
        <v>653</v>
      </c>
      <c r="AA34">
        <v>3303</v>
      </c>
      <c r="AB34">
        <v>3509</v>
      </c>
      <c r="AC34">
        <v>3208</v>
      </c>
      <c r="AD34">
        <v>3340</v>
      </c>
      <c r="AE34">
        <v>3155</v>
      </c>
      <c r="AF34">
        <v>1904</v>
      </c>
      <c r="AG34">
        <v>889</v>
      </c>
      <c r="AH34">
        <v>167</v>
      </c>
      <c r="AI34" s="5">
        <v>49.652225755166903</v>
      </c>
      <c r="AJ34" s="5">
        <v>50.347774244833097</v>
      </c>
      <c r="AK34" s="5">
        <v>3.24423688394277</v>
      </c>
      <c r="AL34" s="5">
        <v>16.409976152623202</v>
      </c>
      <c r="AM34" s="5">
        <v>17.433426073132001</v>
      </c>
      <c r="AN34" s="5">
        <v>15.937996820349801</v>
      </c>
      <c r="AO34" s="5">
        <v>16.593799682035002</v>
      </c>
      <c r="AP34" s="5">
        <v>15.6746820349762</v>
      </c>
      <c r="AQ34" s="5">
        <v>9.4594594594594597</v>
      </c>
      <c r="AR34" s="5">
        <v>4.4167329093799701</v>
      </c>
      <c r="AS34" s="5">
        <v>0.82968998410174899</v>
      </c>
    </row>
    <row r="35" spans="1:45" x14ac:dyDescent="0.25">
      <c r="A35" t="s">
        <v>127</v>
      </c>
      <c r="B35" t="s">
        <v>128</v>
      </c>
      <c r="C35" t="s">
        <v>81</v>
      </c>
      <c r="D35">
        <v>18.14</v>
      </c>
      <c r="E35" s="2">
        <f t="shared" si="1"/>
        <v>3924.9517999999998</v>
      </c>
      <c r="F35">
        <v>27.54</v>
      </c>
      <c r="G35" s="2">
        <f t="shared" si="2"/>
        <v>5958.8297999999995</v>
      </c>
      <c r="H35">
        <v>32.15</v>
      </c>
      <c r="I35" s="2">
        <f t="shared" si="3"/>
        <v>6956.2954999999993</v>
      </c>
      <c r="J35">
        <v>12.77</v>
      </c>
      <c r="K35" s="2">
        <f t="shared" si="4"/>
        <v>2763.0448999999999</v>
      </c>
      <c r="L35">
        <v>7.24</v>
      </c>
      <c r="M35" s="2">
        <f t="shared" si="5"/>
        <v>1566.5188000000001</v>
      </c>
      <c r="N35">
        <v>0.68</v>
      </c>
      <c r="O35" s="2">
        <f t="shared" si="6"/>
        <v>147.13160000000002</v>
      </c>
      <c r="P35">
        <v>1.04</v>
      </c>
      <c r="Q35" s="2">
        <f t="shared" si="7"/>
        <v>225.0248</v>
      </c>
      <c r="R35">
        <v>0.44</v>
      </c>
      <c r="S35" s="3">
        <f t="shared" si="10"/>
        <v>95.202800000000011</v>
      </c>
      <c r="T35" t="s">
        <v>82</v>
      </c>
      <c r="U35" s="4">
        <f t="shared" si="8"/>
        <v>21636.999999999996</v>
      </c>
      <c r="V35" s="4">
        <f t="shared" si="9"/>
        <v>0</v>
      </c>
      <c r="W35" s="3">
        <v>21637</v>
      </c>
      <c r="X35">
        <v>10943</v>
      </c>
      <c r="Y35">
        <v>10694</v>
      </c>
      <c r="Z35">
        <v>663</v>
      </c>
      <c r="AA35">
        <v>3457</v>
      </c>
      <c r="AB35">
        <v>3591</v>
      </c>
      <c r="AC35">
        <v>3305</v>
      </c>
      <c r="AD35">
        <v>4146</v>
      </c>
      <c r="AE35">
        <v>3332</v>
      </c>
      <c r="AF35">
        <v>2063</v>
      </c>
      <c r="AG35">
        <v>947</v>
      </c>
      <c r="AH35">
        <v>133</v>
      </c>
      <c r="AI35" s="5">
        <v>50.575403244442398</v>
      </c>
      <c r="AJ35" s="5">
        <v>49.424596755557602</v>
      </c>
      <c r="AK35" s="5">
        <v>3.0641955908859799</v>
      </c>
      <c r="AL35" s="5">
        <v>15.977261172990699</v>
      </c>
      <c r="AM35" s="5">
        <v>16.596570689097401</v>
      </c>
      <c r="AN35" s="5">
        <v>15.274760826362201</v>
      </c>
      <c r="AO35" s="5">
        <v>19.161621296852601</v>
      </c>
      <c r="AP35" s="5">
        <v>15.3995470721449</v>
      </c>
      <c r="AQ35" s="5">
        <v>9.5345935203586407</v>
      </c>
      <c r="AR35" s="5">
        <v>4.3767620280075796</v>
      </c>
      <c r="AS35" s="5">
        <v>0.61468780329990302</v>
      </c>
    </row>
    <row r="36" spans="1:45" x14ac:dyDescent="0.25">
      <c r="A36" t="s">
        <v>129</v>
      </c>
      <c r="B36" t="s">
        <v>130</v>
      </c>
      <c r="C36" t="s">
        <v>113</v>
      </c>
      <c r="D36">
        <v>19.61</v>
      </c>
      <c r="E36" s="2">
        <f t="shared" si="1"/>
        <v>3254.4755999999998</v>
      </c>
      <c r="F36">
        <v>23.7</v>
      </c>
      <c r="G36" s="2">
        <f t="shared" si="2"/>
        <v>3933.252</v>
      </c>
      <c r="H36">
        <v>31.96</v>
      </c>
      <c r="I36" s="2">
        <f t="shared" si="3"/>
        <v>5304.0816000000004</v>
      </c>
      <c r="J36">
        <v>14.73</v>
      </c>
      <c r="K36" s="2">
        <f t="shared" si="4"/>
        <v>2444.5907999999999</v>
      </c>
      <c r="L36">
        <v>7.37</v>
      </c>
      <c r="M36" s="2">
        <f t="shared" si="5"/>
        <v>1223.1251999999999</v>
      </c>
      <c r="N36">
        <v>0.87</v>
      </c>
      <c r="O36" s="2">
        <f t="shared" si="6"/>
        <v>144.3852</v>
      </c>
      <c r="P36">
        <v>1.37</v>
      </c>
      <c r="Q36" s="2">
        <f t="shared" si="7"/>
        <v>227.36520000000002</v>
      </c>
      <c r="R36">
        <v>0.38</v>
      </c>
      <c r="S36" s="3">
        <f t="shared" si="10"/>
        <v>63.064800000000005</v>
      </c>
      <c r="T36" t="s">
        <v>114</v>
      </c>
      <c r="U36" s="4">
        <f t="shared" si="8"/>
        <v>16594.340400000001</v>
      </c>
      <c r="V36" s="4">
        <f t="shared" si="9"/>
        <v>-1.6595999999990454</v>
      </c>
      <c r="W36" s="3">
        <v>16596</v>
      </c>
      <c r="X36">
        <v>8213</v>
      </c>
      <c r="Y36">
        <v>8383</v>
      </c>
      <c r="Z36">
        <v>522</v>
      </c>
      <c r="AA36">
        <v>2684</v>
      </c>
      <c r="AB36">
        <v>3185</v>
      </c>
      <c r="AC36">
        <v>2750</v>
      </c>
      <c r="AD36">
        <v>2748</v>
      </c>
      <c r="AE36">
        <v>2535</v>
      </c>
      <c r="AF36">
        <v>1437</v>
      </c>
      <c r="AG36">
        <v>617</v>
      </c>
      <c r="AH36">
        <v>118</v>
      </c>
      <c r="AI36" s="5">
        <v>49.487828392383697</v>
      </c>
      <c r="AJ36" s="5">
        <v>50.512171607616303</v>
      </c>
      <c r="AK36" s="5">
        <v>3.1453362255965298</v>
      </c>
      <c r="AL36" s="5">
        <v>16.172571704025099</v>
      </c>
      <c r="AM36" s="5">
        <v>19.191371414798699</v>
      </c>
      <c r="AN36" s="5">
        <v>16.570257893468298</v>
      </c>
      <c r="AO36" s="5">
        <v>16.558206796818499</v>
      </c>
      <c r="AP36" s="5">
        <v>15.2747650036153</v>
      </c>
      <c r="AQ36" s="5">
        <v>8.6587129428778002</v>
      </c>
      <c r="AR36" s="5">
        <v>3.7177633164618</v>
      </c>
      <c r="AS36" s="5">
        <v>0.71101470233791297</v>
      </c>
    </row>
    <row r="37" spans="1:45" x14ac:dyDescent="0.25">
      <c r="A37" t="s">
        <v>131</v>
      </c>
      <c r="B37" t="s">
        <v>132</v>
      </c>
      <c r="C37" t="s">
        <v>81</v>
      </c>
      <c r="D37">
        <v>16.399999999999999</v>
      </c>
      <c r="E37" s="2">
        <f t="shared" si="1"/>
        <v>3985.1999999999994</v>
      </c>
      <c r="F37">
        <v>30.66</v>
      </c>
      <c r="G37" s="2">
        <f t="shared" si="2"/>
        <v>7450.38</v>
      </c>
      <c r="H37">
        <v>31.94</v>
      </c>
      <c r="I37" s="2">
        <f t="shared" si="3"/>
        <v>7761.42</v>
      </c>
      <c r="J37">
        <v>12.38</v>
      </c>
      <c r="K37" s="2">
        <f t="shared" si="4"/>
        <v>3008.34</v>
      </c>
      <c r="L37">
        <v>6.35</v>
      </c>
      <c r="M37" s="2">
        <f t="shared" si="5"/>
        <v>1543.05</v>
      </c>
      <c r="N37">
        <v>0.93</v>
      </c>
      <c r="O37" s="2">
        <f t="shared" si="6"/>
        <v>225.99</v>
      </c>
      <c r="P37">
        <v>0.89</v>
      </c>
      <c r="Q37" s="2">
        <f t="shared" si="7"/>
        <v>216.27</v>
      </c>
      <c r="R37">
        <v>0.46</v>
      </c>
      <c r="S37" s="3">
        <f t="shared" si="10"/>
        <v>111.78</v>
      </c>
      <c r="T37" t="s">
        <v>82</v>
      </c>
      <c r="U37" s="4">
        <f t="shared" si="8"/>
        <v>24302.43</v>
      </c>
      <c r="V37" s="4">
        <f t="shared" si="9"/>
        <v>2.430000000000291</v>
      </c>
      <c r="W37" s="3">
        <v>24300</v>
      </c>
      <c r="X37">
        <v>12090</v>
      </c>
      <c r="Y37">
        <v>12210</v>
      </c>
      <c r="Z37">
        <v>854</v>
      </c>
      <c r="AA37">
        <v>3932</v>
      </c>
      <c r="AB37">
        <v>4405</v>
      </c>
      <c r="AC37">
        <v>3854</v>
      </c>
      <c r="AD37">
        <v>4340</v>
      </c>
      <c r="AE37">
        <v>3727</v>
      </c>
      <c r="AF37">
        <v>2027</v>
      </c>
      <c r="AG37">
        <v>981</v>
      </c>
      <c r="AH37">
        <v>180</v>
      </c>
      <c r="AI37" s="5">
        <v>49.753086419753103</v>
      </c>
      <c r="AJ37" s="5">
        <v>50.246913580246897</v>
      </c>
      <c r="AK37" s="5">
        <v>3.5144032921810702</v>
      </c>
      <c r="AL37" s="5">
        <v>16.181069958847701</v>
      </c>
      <c r="AM37" s="5">
        <v>18.127572016460899</v>
      </c>
      <c r="AN37" s="5">
        <v>15.860082304526699</v>
      </c>
      <c r="AO37" s="5">
        <v>17.860082304526699</v>
      </c>
      <c r="AP37" s="5">
        <v>15.337448559670801</v>
      </c>
      <c r="AQ37" s="5">
        <v>8.3415637860082299</v>
      </c>
      <c r="AR37" s="5">
        <v>4.0370370370370399</v>
      </c>
      <c r="AS37" s="5">
        <v>0.74074074074074103</v>
      </c>
    </row>
    <row r="38" spans="1:45" x14ac:dyDescent="0.25">
      <c r="A38" t="s">
        <v>133</v>
      </c>
      <c r="B38" t="s">
        <v>134</v>
      </c>
      <c r="C38" t="s">
        <v>75</v>
      </c>
      <c r="D38">
        <v>24.73</v>
      </c>
      <c r="E38" s="2">
        <f t="shared" si="1"/>
        <v>23847.633599999997</v>
      </c>
      <c r="F38">
        <v>20.399999999999999</v>
      </c>
      <c r="G38" s="2">
        <f t="shared" si="2"/>
        <v>19672.127999999997</v>
      </c>
      <c r="H38">
        <v>31.41</v>
      </c>
      <c r="I38" s="2">
        <f t="shared" si="3"/>
        <v>30289.2912</v>
      </c>
      <c r="J38">
        <v>13.16</v>
      </c>
      <c r="K38" s="2">
        <f t="shared" si="4"/>
        <v>12690.451200000001</v>
      </c>
      <c r="L38">
        <v>7.77</v>
      </c>
      <c r="M38" s="2">
        <f t="shared" si="5"/>
        <v>7492.7664000000004</v>
      </c>
      <c r="N38">
        <v>0.87</v>
      </c>
      <c r="O38" s="2">
        <f t="shared" si="6"/>
        <v>838.95839999999998</v>
      </c>
      <c r="P38">
        <v>1.17</v>
      </c>
      <c r="Q38" s="2">
        <f t="shared" si="7"/>
        <v>1128.2543999999998</v>
      </c>
      <c r="R38">
        <v>0.49</v>
      </c>
      <c r="S38" s="3">
        <f t="shared" si="10"/>
        <v>472.51679999999999</v>
      </c>
      <c r="T38" t="s">
        <v>76</v>
      </c>
      <c r="U38" s="4">
        <f t="shared" si="8"/>
        <v>96432</v>
      </c>
      <c r="V38" s="4">
        <f t="shared" si="9"/>
        <v>0</v>
      </c>
      <c r="W38" s="3">
        <v>96432</v>
      </c>
      <c r="X38">
        <v>49617</v>
      </c>
      <c r="Y38">
        <v>46815</v>
      </c>
      <c r="Z38">
        <v>3203</v>
      </c>
      <c r="AA38">
        <v>15922</v>
      </c>
      <c r="AB38">
        <v>19077</v>
      </c>
      <c r="AC38">
        <v>15732</v>
      </c>
      <c r="AD38">
        <v>15684</v>
      </c>
      <c r="AE38">
        <v>13649</v>
      </c>
      <c r="AF38">
        <v>8102</v>
      </c>
      <c r="AG38">
        <v>4049</v>
      </c>
      <c r="AH38">
        <v>1014</v>
      </c>
      <c r="AI38" s="5">
        <v>51.452837232454002</v>
      </c>
      <c r="AJ38" s="5">
        <v>48.547162767545998</v>
      </c>
      <c r="AK38" s="5">
        <v>3.3215115314418502</v>
      </c>
      <c r="AL38" s="5">
        <v>16.511116641778699</v>
      </c>
      <c r="AM38" s="5">
        <v>19.782852165256301</v>
      </c>
      <c r="AN38" s="5">
        <v>16.314086610253899</v>
      </c>
      <c r="AO38" s="5">
        <v>16.264310602289701</v>
      </c>
      <c r="AP38" s="5">
        <v>14.1540152646424</v>
      </c>
      <c r="AQ38" s="5">
        <v>8.4017753442840597</v>
      </c>
      <c r="AR38" s="5">
        <v>4.1988136718101901</v>
      </c>
      <c r="AS38" s="5">
        <v>1.05151816824291</v>
      </c>
    </row>
    <row r="39" spans="1:45" x14ac:dyDescent="0.25">
      <c r="A39" t="s">
        <v>135</v>
      </c>
      <c r="B39" t="s">
        <v>136</v>
      </c>
      <c r="C39" t="s">
        <v>55</v>
      </c>
      <c r="D39">
        <v>15.76</v>
      </c>
      <c r="E39" s="2">
        <f t="shared" si="1"/>
        <v>571.45760000000007</v>
      </c>
      <c r="F39">
        <v>28.06</v>
      </c>
      <c r="G39" s="2">
        <f t="shared" si="2"/>
        <v>1017.4556</v>
      </c>
      <c r="H39">
        <v>31.29</v>
      </c>
      <c r="I39" s="2">
        <f t="shared" si="3"/>
        <v>1134.5753999999999</v>
      </c>
      <c r="J39">
        <v>16.239999999999998</v>
      </c>
      <c r="K39" s="2">
        <f t="shared" si="4"/>
        <v>588.86239999999998</v>
      </c>
      <c r="L39">
        <v>6.17</v>
      </c>
      <c r="M39" s="2">
        <f t="shared" si="5"/>
        <v>223.7242</v>
      </c>
      <c r="N39">
        <v>0.71</v>
      </c>
      <c r="O39" s="2">
        <f t="shared" si="6"/>
        <v>25.744600000000002</v>
      </c>
      <c r="P39">
        <v>1.38</v>
      </c>
      <c r="Q39" s="2">
        <f t="shared" si="7"/>
        <v>50.038799999999995</v>
      </c>
      <c r="R39">
        <v>0.38</v>
      </c>
      <c r="S39" s="3">
        <f t="shared" si="10"/>
        <v>13.7788</v>
      </c>
      <c r="T39" t="s">
        <v>56</v>
      </c>
      <c r="U39" s="4">
        <f t="shared" si="8"/>
        <v>3625.6374000000001</v>
      </c>
      <c r="V39" s="4">
        <f t="shared" si="9"/>
        <v>-0.36259999999992942</v>
      </c>
      <c r="W39" s="3">
        <v>3626</v>
      </c>
      <c r="X39">
        <v>1409</v>
      </c>
      <c r="Y39">
        <v>2217</v>
      </c>
      <c r="Z39">
        <v>50</v>
      </c>
      <c r="AA39">
        <v>343</v>
      </c>
      <c r="AB39">
        <v>556</v>
      </c>
      <c r="AC39">
        <v>916</v>
      </c>
      <c r="AD39">
        <v>749</v>
      </c>
      <c r="AE39">
        <v>499</v>
      </c>
      <c r="AF39">
        <v>338</v>
      </c>
      <c r="AG39">
        <v>147</v>
      </c>
      <c r="AH39">
        <v>28</v>
      </c>
      <c r="AI39" s="5">
        <v>38.858246001103097</v>
      </c>
      <c r="AJ39" s="5">
        <v>61.141753998896903</v>
      </c>
      <c r="AK39" s="5">
        <v>1.37892995035852</v>
      </c>
      <c r="AL39" s="5">
        <v>9.4594594594594597</v>
      </c>
      <c r="AM39" s="5">
        <v>15.3337010479868</v>
      </c>
      <c r="AN39" s="5">
        <v>25.2619966905681</v>
      </c>
      <c r="AO39" s="5">
        <v>20.656370656370701</v>
      </c>
      <c r="AP39" s="5">
        <v>13.761720904578</v>
      </c>
      <c r="AQ39" s="5">
        <v>9.3215664644236096</v>
      </c>
      <c r="AR39" s="5">
        <v>4.0540540540540499</v>
      </c>
      <c r="AS39" s="5">
        <v>0.77220077220077199</v>
      </c>
    </row>
    <row r="40" spans="1:45" x14ac:dyDescent="0.25">
      <c r="A40" t="s">
        <v>137</v>
      </c>
      <c r="B40" t="s">
        <v>138</v>
      </c>
      <c r="C40" t="s">
        <v>93</v>
      </c>
      <c r="D40">
        <v>23.7</v>
      </c>
      <c r="E40" s="2">
        <f t="shared" si="1"/>
        <v>1417.26</v>
      </c>
      <c r="F40">
        <v>25.26</v>
      </c>
      <c r="G40" s="2">
        <f t="shared" si="2"/>
        <v>1510.5480000000002</v>
      </c>
      <c r="H40">
        <v>31.27</v>
      </c>
      <c r="I40" s="2">
        <f t="shared" si="3"/>
        <v>1869.9460000000001</v>
      </c>
      <c r="J40">
        <v>10.96</v>
      </c>
      <c r="K40" s="2">
        <f t="shared" si="4"/>
        <v>655.40800000000002</v>
      </c>
      <c r="L40">
        <v>6.74</v>
      </c>
      <c r="M40" s="2">
        <f t="shared" si="5"/>
        <v>403.05200000000002</v>
      </c>
      <c r="N40">
        <v>0.8</v>
      </c>
      <c r="O40" s="2">
        <f t="shared" si="6"/>
        <v>47.84</v>
      </c>
      <c r="P40">
        <v>0.94</v>
      </c>
      <c r="Q40" s="2">
        <f t="shared" si="7"/>
        <v>56.211999999999996</v>
      </c>
      <c r="R40">
        <v>0.32</v>
      </c>
      <c r="S40" s="3">
        <f t="shared" si="10"/>
        <v>19.136000000000003</v>
      </c>
      <c r="T40" t="s">
        <v>94</v>
      </c>
      <c r="U40" s="4">
        <f t="shared" si="8"/>
        <v>5979.402</v>
      </c>
      <c r="V40" s="4">
        <f t="shared" si="9"/>
        <v>-0.59799999999995634</v>
      </c>
      <c r="W40" s="3">
        <v>5980</v>
      </c>
      <c r="X40">
        <v>2893</v>
      </c>
      <c r="Y40">
        <v>3087</v>
      </c>
      <c r="Z40">
        <v>161</v>
      </c>
      <c r="AA40">
        <v>853</v>
      </c>
      <c r="AB40">
        <v>1036</v>
      </c>
      <c r="AC40">
        <v>932</v>
      </c>
      <c r="AD40">
        <v>1021</v>
      </c>
      <c r="AE40">
        <v>907</v>
      </c>
      <c r="AF40">
        <v>612</v>
      </c>
      <c r="AG40">
        <v>402</v>
      </c>
      <c r="AH40">
        <v>56</v>
      </c>
      <c r="AI40" s="5">
        <v>48.377926421404702</v>
      </c>
      <c r="AJ40" s="5">
        <v>51.622073578595298</v>
      </c>
      <c r="AK40" s="5">
        <v>2.6923076923076898</v>
      </c>
      <c r="AL40" s="5">
        <v>14.264214046822699</v>
      </c>
      <c r="AM40" s="5">
        <v>17.324414715719101</v>
      </c>
      <c r="AN40" s="5">
        <v>15.5852842809365</v>
      </c>
      <c r="AO40" s="5">
        <v>17.073578595317699</v>
      </c>
      <c r="AP40" s="5">
        <v>15.1672240802676</v>
      </c>
      <c r="AQ40" s="5">
        <v>10.234113712374601</v>
      </c>
      <c r="AR40" s="5">
        <v>6.7224080267558497</v>
      </c>
      <c r="AS40" s="5">
        <v>0.93645484949832802</v>
      </c>
    </row>
    <row r="41" spans="1:45" x14ac:dyDescent="0.25">
      <c r="A41" t="s">
        <v>139</v>
      </c>
      <c r="B41" t="s">
        <v>140</v>
      </c>
      <c r="C41" t="s">
        <v>141</v>
      </c>
      <c r="D41">
        <v>14.86</v>
      </c>
      <c r="E41" s="2">
        <f t="shared" si="1"/>
        <v>1480.3532</v>
      </c>
      <c r="F41">
        <v>32.619999999999997</v>
      </c>
      <c r="G41" s="2">
        <f t="shared" si="2"/>
        <v>3249.6044000000002</v>
      </c>
      <c r="H41">
        <v>31.26</v>
      </c>
      <c r="I41" s="2">
        <f t="shared" si="3"/>
        <v>3114.1212</v>
      </c>
      <c r="J41">
        <v>13.68</v>
      </c>
      <c r="K41" s="2">
        <f t="shared" si="4"/>
        <v>1362.8016</v>
      </c>
      <c r="L41">
        <v>5.78</v>
      </c>
      <c r="M41" s="2">
        <f t="shared" si="5"/>
        <v>575.80359999999996</v>
      </c>
      <c r="N41">
        <v>0.56000000000000005</v>
      </c>
      <c r="O41" s="2">
        <f t="shared" si="6"/>
        <v>55.787200000000006</v>
      </c>
      <c r="P41">
        <v>0.93</v>
      </c>
      <c r="Q41" s="2">
        <f t="shared" si="7"/>
        <v>92.646599999999992</v>
      </c>
      <c r="R41">
        <v>0.31</v>
      </c>
      <c r="S41" s="3">
        <f t="shared" si="10"/>
        <v>30.882199999999997</v>
      </c>
      <c r="T41" t="s">
        <v>142</v>
      </c>
      <c r="U41" s="4">
        <f t="shared" si="8"/>
        <v>9962</v>
      </c>
      <c r="V41" s="4">
        <f t="shared" si="9"/>
        <v>0</v>
      </c>
      <c r="W41" s="3">
        <v>9962</v>
      </c>
      <c r="X41">
        <v>5084</v>
      </c>
      <c r="Y41">
        <v>4878</v>
      </c>
      <c r="Z41">
        <v>337</v>
      </c>
      <c r="AA41">
        <v>1490</v>
      </c>
      <c r="AB41">
        <v>1817</v>
      </c>
      <c r="AC41">
        <v>1625</v>
      </c>
      <c r="AD41">
        <v>1815</v>
      </c>
      <c r="AE41">
        <v>1499</v>
      </c>
      <c r="AF41">
        <v>911</v>
      </c>
      <c r="AG41">
        <v>407</v>
      </c>
      <c r="AH41">
        <v>61</v>
      </c>
      <c r="AI41" s="5">
        <v>51.033928929933801</v>
      </c>
      <c r="AJ41" s="5">
        <v>48.966071070066199</v>
      </c>
      <c r="AK41" s="5">
        <v>3.3828548484240102</v>
      </c>
      <c r="AL41" s="5">
        <v>14.956835976711499</v>
      </c>
      <c r="AM41" s="5">
        <v>18.2393093756274</v>
      </c>
      <c r="AN41" s="5">
        <v>16.311985545071298</v>
      </c>
      <c r="AO41" s="5">
        <v>18.219233085725801</v>
      </c>
      <c r="AP41" s="5">
        <v>15.0471792812688</v>
      </c>
      <c r="AQ41" s="5">
        <v>9.1447500501907193</v>
      </c>
      <c r="AR41" s="5">
        <v>4.08552499498093</v>
      </c>
      <c r="AS41" s="5">
        <v>0.61232684199959797</v>
      </c>
    </row>
    <row r="42" spans="1:45" x14ac:dyDescent="0.25">
      <c r="A42" t="s">
        <v>143</v>
      </c>
      <c r="B42" t="s">
        <v>144</v>
      </c>
      <c r="C42" t="s">
        <v>81</v>
      </c>
      <c r="D42">
        <v>21.19</v>
      </c>
      <c r="E42" s="2">
        <f t="shared" si="1"/>
        <v>6255.4998999999998</v>
      </c>
      <c r="F42">
        <v>28.71</v>
      </c>
      <c r="G42" s="2">
        <f t="shared" si="2"/>
        <v>8475.4791000000005</v>
      </c>
      <c r="H42">
        <v>31.19</v>
      </c>
      <c r="I42" s="2">
        <f t="shared" si="3"/>
        <v>9207.5998999999993</v>
      </c>
      <c r="J42">
        <v>10.82</v>
      </c>
      <c r="K42" s="2">
        <f t="shared" si="4"/>
        <v>3194.1722000000004</v>
      </c>
      <c r="L42">
        <v>5.86</v>
      </c>
      <c r="M42" s="2">
        <f t="shared" si="5"/>
        <v>1729.9305999999999</v>
      </c>
      <c r="N42">
        <v>0.73</v>
      </c>
      <c r="O42" s="2">
        <f t="shared" si="6"/>
        <v>215.50329999999997</v>
      </c>
      <c r="P42">
        <v>1.06</v>
      </c>
      <c r="Q42" s="2">
        <f t="shared" si="7"/>
        <v>312.92260000000005</v>
      </c>
      <c r="R42">
        <v>0.42</v>
      </c>
      <c r="S42" s="3">
        <f t="shared" si="10"/>
        <v>123.98819999999999</v>
      </c>
      <c r="T42" t="s">
        <v>82</v>
      </c>
      <c r="U42" s="4">
        <f t="shared" si="8"/>
        <v>29515.095799999999</v>
      </c>
      <c r="V42" s="4">
        <f t="shared" si="9"/>
        <v>-5.9042000000008557</v>
      </c>
      <c r="W42" s="3">
        <v>29521</v>
      </c>
      <c r="X42">
        <v>14787</v>
      </c>
      <c r="Y42">
        <v>14734</v>
      </c>
      <c r="Z42">
        <v>874</v>
      </c>
      <c r="AA42">
        <v>4881</v>
      </c>
      <c r="AB42">
        <v>5356</v>
      </c>
      <c r="AC42">
        <v>4779</v>
      </c>
      <c r="AD42">
        <v>5235</v>
      </c>
      <c r="AE42">
        <v>4486</v>
      </c>
      <c r="AF42">
        <v>2618</v>
      </c>
      <c r="AG42">
        <v>1070</v>
      </c>
      <c r="AH42">
        <v>222</v>
      </c>
      <c r="AI42" s="5">
        <v>50.089766606822302</v>
      </c>
      <c r="AJ42" s="5">
        <v>49.910233393177698</v>
      </c>
      <c r="AK42" s="5">
        <v>2.9606043155719699</v>
      </c>
      <c r="AL42" s="5">
        <v>16.533992750923101</v>
      </c>
      <c r="AM42" s="5">
        <v>18.143016835473102</v>
      </c>
      <c r="AN42" s="5">
        <v>16.188476000135498</v>
      </c>
      <c r="AO42" s="5">
        <v>17.733139121303498</v>
      </c>
      <c r="AP42" s="5">
        <v>15.195962196402601</v>
      </c>
      <c r="AQ42" s="5">
        <v>8.8682632702144204</v>
      </c>
      <c r="AR42" s="5">
        <v>3.62453846414417</v>
      </c>
      <c r="AS42" s="5">
        <v>0.75200704583178102</v>
      </c>
    </row>
    <row r="43" spans="1:45" x14ac:dyDescent="0.25">
      <c r="A43" t="s">
        <v>145</v>
      </c>
      <c r="B43" t="s">
        <v>146</v>
      </c>
      <c r="C43" t="s">
        <v>147</v>
      </c>
      <c r="D43">
        <v>20.059999999999999</v>
      </c>
      <c r="E43" s="2">
        <f t="shared" si="1"/>
        <v>8131.7222000000002</v>
      </c>
      <c r="F43">
        <v>27.3</v>
      </c>
      <c r="G43" s="2">
        <f t="shared" si="2"/>
        <v>11066.601000000001</v>
      </c>
      <c r="H43">
        <v>31.16</v>
      </c>
      <c r="I43" s="2">
        <f t="shared" si="3"/>
        <v>12631.3292</v>
      </c>
      <c r="J43">
        <v>11.96</v>
      </c>
      <c r="K43" s="2">
        <f t="shared" si="4"/>
        <v>4848.2251999999999</v>
      </c>
      <c r="L43">
        <v>7.44</v>
      </c>
      <c r="M43" s="2">
        <f t="shared" si="5"/>
        <v>3015.9528000000005</v>
      </c>
      <c r="N43">
        <v>0.71</v>
      </c>
      <c r="O43" s="2">
        <f t="shared" si="6"/>
        <v>287.81269999999995</v>
      </c>
      <c r="P43">
        <v>0.99</v>
      </c>
      <c r="Q43" s="2">
        <f t="shared" si="7"/>
        <v>401.31629999999996</v>
      </c>
      <c r="R43">
        <v>0.38</v>
      </c>
      <c r="S43" s="3">
        <f t="shared" si="10"/>
        <v>154.04059999999998</v>
      </c>
      <c r="T43" t="s">
        <v>148</v>
      </c>
      <c r="U43" s="4">
        <f t="shared" si="8"/>
        <v>40537</v>
      </c>
      <c r="V43" s="4">
        <f t="shared" si="9"/>
        <v>0</v>
      </c>
      <c r="W43" s="3">
        <v>40537</v>
      </c>
      <c r="X43">
        <v>20345</v>
      </c>
      <c r="Y43">
        <v>20192</v>
      </c>
      <c r="Z43">
        <v>1329</v>
      </c>
      <c r="AA43">
        <v>6673</v>
      </c>
      <c r="AB43">
        <v>8031</v>
      </c>
      <c r="AC43">
        <v>6814</v>
      </c>
      <c r="AD43">
        <v>6884</v>
      </c>
      <c r="AE43">
        <v>5882</v>
      </c>
      <c r="AF43">
        <v>3408</v>
      </c>
      <c r="AG43">
        <v>1280</v>
      </c>
      <c r="AH43">
        <v>236</v>
      </c>
      <c r="AI43" s="5">
        <v>50.188716481239403</v>
      </c>
      <c r="AJ43" s="5">
        <v>49.811283518760597</v>
      </c>
      <c r="AK43" s="5">
        <v>3.2784863211387099</v>
      </c>
      <c r="AL43" s="5">
        <v>16.461504304709301</v>
      </c>
      <c r="AM43" s="5">
        <v>19.811530206971401</v>
      </c>
      <c r="AN43" s="5">
        <v>16.809334681895599</v>
      </c>
      <c r="AO43" s="5">
        <v>16.9820164294348</v>
      </c>
      <c r="AP43" s="5">
        <v>14.5102005575154</v>
      </c>
      <c r="AQ43" s="5">
        <v>8.4071342230554809</v>
      </c>
      <c r="AR43" s="5">
        <v>3.1576090978612101</v>
      </c>
      <c r="AS43" s="5">
        <v>0.58218417741816098</v>
      </c>
    </row>
    <row r="44" spans="1:45" x14ac:dyDescent="0.25">
      <c r="A44" t="s">
        <v>149</v>
      </c>
      <c r="B44" t="s">
        <v>150</v>
      </c>
      <c r="C44" t="s">
        <v>81</v>
      </c>
      <c r="D44">
        <v>23.48</v>
      </c>
      <c r="E44" s="2">
        <f t="shared" si="1"/>
        <v>22386.066800000001</v>
      </c>
      <c r="F44">
        <v>24.38</v>
      </c>
      <c r="G44" s="2">
        <f t="shared" si="2"/>
        <v>23244.1358</v>
      </c>
      <c r="H44">
        <v>31.13</v>
      </c>
      <c r="I44" s="2">
        <f t="shared" si="3"/>
        <v>29679.653300000002</v>
      </c>
      <c r="J44">
        <v>11.7</v>
      </c>
      <c r="K44" s="2">
        <f t="shared" si="4"/>
        <v>11154.896999999999</v>
      </c>
      <c r="L44">
        <v>6.66</v>
      </c>
      <c r="M44" s="2">
        <f t="shared" si="5"/>
        <v>6349.7106000000003</v>
      </c>
      <c r="N44">
        <v>0.87</v>
      </c>
      <c r="O44" s="2">
        <f t="shared" si="6"/>
        <v>829.46669999999995</v>
      </c>
      <c r="P44">
        <v>1.17</v>
      </c>
      <c r="Q44" s="2">
        <f t="shared" si="7"/>
        <v>1115.4896999999999</v>
      </c>
      <c r="R44">
        <v>0.6</v>
      </c>
      <c r="S44" s="3">
        <f t="shared" si="10"/>
        <v>572.04599999999994</v>
      </c>
      <c r="T44" t="s">
        <v>82</v>
      </c>
      <c r="U44" s="4">
        <f t="shared" si="8"/>
        <v>95331.46590000001</v>
      </c>
      <c r="V44" s="4">
        <f t="shared" si="9"/>
        <v>-9.5340999999898486</v>
      </c>
      <c r="W44" s="3">
        <v>95341</v>
      </c>
      <c r="X44">
        <v>49461</v>
      </c>
      <c r="Y44">
        <v>45880</v>
      </c>
      <c r="Z44">
        <v>3463</v>
      </c>
      <c r="AA44">
        <v>16030</v>
      </c>
      <c r="AB44">
        <v>18369</v>
      </c>
      <c r="AC44">
        <v>15089</v>
      </c>
      <c r="AD44">
        <v>16527</v>
      </c>
      <c r="AE44">
        <v>14545</v>
      </c>
      <c r="AF44">
        <v>7683</v>
      </c>
      <c r="AG44">
        <v>3055</v>
      </c>
      <c r="AH44">
        <v>580</v>
      </c>
      <c r="AI44" s="5">
        <v>51.877995825510503</v>
      </c>
      <c r="AJ44" s="5">
        <v>48.122004174489497</v>
      </c>
      <c r="AK44" s="5">
        <v>3.6322253804764002</v>
      </c>
      <c r="AL44" s="5">
        <v>16.8133331934844</v>
      </c>
      <c r="AM44" s="5">
        <v>19.266632403687801</v>
      </c>
      <c r="AN44" s="5">
        <v>15.8263496292256</v>
      </c>
      <c r="AO44" s="5">
        <v>17.334619943151399</v>
      </c>
      <c r="AP44" s="5">
        <v>15.255766144680701</v>
      </c>
      <c r="AQ44" s="5">
        <v>8.0584428524978797</v>
      </c>
      <c r="AR44" s="5">
        <v>3.2042877670676799</v>
      </c>
      <c r="AS44" s="5">
        <v>0.60834268572807104</v>
      </c>
    </row>
    <row r="45" spans="1:45" x14ac:dyDescent="0.25">
      <c r="A45" t="s">
        <v>151</v>
      </c>
      <c r="B45" t="s">
        <v>152</v>
      </c>
      <c r="C45" t="s">
        <v>81</v>
      </c>
      <c r="D45">
        <v>16.66</v>
      </c>
      <c r="E45" s="2">
        <f t="shared" si="1"/>
        <v>4419.5648000000001</v>
      </c>
      <c r="F45">
        <v>31.55</v>
      </c>
      <c r="G45" s="2">
        <f t="shared" si="2"/>
        <v>8369.5840000000007</v>
      </c>
      <c r="H45">
        <v>31.08</v>
      </c>
      <c r="I45" s="2">
        <f t="shared" si="3"/>
        <v>8244.902399999999</v>
      </c>
      <c r="J45">
        <v>12.94</v>
      </c>
      <c r="K45" s="2">
        <f t="shared" si="4"/>
        <v>3432.7231999999999</v>
      </c>
      <c r="L45">
        <v>5.7</v>
      </c>
      <c r="M45" s="2">
        <f t="shared" si="5"/>
        <v>1512.096</v>
      </c>
      <c r="N45">
        <v>0.57999999999999996</v>
      </c>
      <c r="O45" s="2">
        <f t="shared" si="6"/>
        <v>153.86240000000001</v>
      </c>
      <c r="P45">
        <v>1.07</v>
      </c>
      <c r="Q45" s="2">
        <f t="shared" si="7"/>
        <v>283.84960000000001</v>
      </c>
      <c r="R45">
        <v>0.42</v>
      </c>
      <c r="S45" s="3">
        <f t="shared" si="10"/>
        <v>111.41760000000001</v>
      </c>
      <c r="T45" t="s">
        <v>82</v>
      </c>
      <c r="U45" s="4">
        <f t="shared" si="8"/>
        <v>26528</v>
      </c>
      <c r="V45" s="4">
        <f t="shared" si="9"/>
        <v>0</v>
      </c>
      <c r="W45" s="3">
        <v>26528</v>
      </c>
      <c r="X45">
        <v>13361</v>
      </c>
      <c r="Y45">
        <v>13167</v>
      </c>
      <c r="Z45">
        <v>880</v>
      </c>
      <c r="AA45">
        <v>4270</v>
      </c>
      <c r="AB45">
        <v>4746</v>
      </c>
      <c r="AC45">
        <v>4096</v>
      </c>
      <c r="AD45">
        <v>4796</v>
      </c>
      <c r="AE45">
        <v>3944</v>
      </c>
      <c r="AF45">
        <v>2368</v>
      </c>
      <c r="AG45">
        <v>1197</v>
      </c>
      <c r="AH45">
        <v>231</v>
      </c>
      <c r="AI45" s="5">
        <v>50.365651387213497</v>
      </c>
      <c r="AJ45" s="5">
        <v>49.634348612786503</v>
      </c>
      <c r="AK45" s="5">
        <v>3.31724969843185</v>
      </c>
      <c r="AL45" s="5">
        <v>16.0962002412545</v>
      </c>
      <c r="AM45" s="5">
        <v>17.890530759951801</v>
      </c>
      <c r="AN45" s="5">
        <v>15.440289505428201</v>
      </c>
      <c r="AO45" s="5">
        <v>18.0790108564536</v>
      </c>
      <c r="AP45" s="5">
        <v>14.867310012062701</v>
      </c>
      <c r="AQ45" s="5">
        <v>8.9264173703256908</v>
      </c>
      <c r="AR45" s="5">
        <v>4.5122135102533196</v>
      </c>
      <c r="AS45" s="5">
        <v>0.87077804583835905</v>
      </c>
    </row>
    <row r="46" spans="1:45" x14ac:dyDescent="0.25">
      <c r="A46" t="s">
        <v>153</v>
      </c>
      <c r="B46" t="s">
        <v>154</v>
      </c>
      <c r="C46" t="s">
        <v>81</v>
      </c>
      <c r="D46">
        <v>24.16</v>
      </c>
      <c r="E46" s="2">
        <f t="shared" si="1"/>
        <v>1020.76</v>
      </c>
      <c r="F46">
        <v>23.68</v>
      </c>
      <c r="G46" s="2">
        <f t="shared" si="2"/>
        <v>1000.48</v>
      </c>
      <c r="H46">
        <v>31.01</v>
      </c>
      <c r="I46" s="2">
        <f t="shared" si="3"/>
        <v>1310.1724999999999</v>
      </c>
      <c r="J46">
        <v>10.73</v>
      </c>
      <c r="K46" s="2">
        <f t="shared" si="4"/>
        <v>453.34249999999997</v>
      </c>
      <c r="L46">
        <v>7.99</v>
      </c>
      <c r="M46" s="2">
        <f t="shared" si="5"/>
        <v>337.57749999999999</v>
      </c>
      <c r="N46">
        <v>0.79</v>
      </c>
      <c r="O46" s="2">
        <f t="shared" si="6"/>
        <v>33.377499999999998</v>
      </c>
      <c r="P46">
        <v>1.25</v>
      </c>
      <c r="Q46" s="2">
        <f t="shared" si="7"/>
        <v>52.8125</v>
      </c>
      <c r="R46">
        <v>0.4</v>
      </c>
      <c r="S46" s="3">
        <f t="shared" si="10"/>
        <v>16.899999999999999</v>
      </c>
      <c r="T46" t="s">
        <v>82</v>
      </c>
      <c r="U46" s="4">
        <f t="shared" si="8"/>
        <v>4225.4224999999997</v>
      </c>
      <c r="V46" s="4">
        <f t="shared" si="9"/>
        <v>0.42249999999967258</v>
      </c>
      <c r="W46" s="3">
        <v>4225</v>
      </c>
      <c r="X46">
        <v>2078</v>
      </c>
      <c r="Y46">
        <v>2147</v>
      </c>
      <c r="Z46">
        <v>107</v>
      </c>
      <c r="AA46">
        <v>603</v>
      </c>
      <c r="AB46">
        <v>756</v>
      </c>
      <c r="AC46">
        <v>654</v>
      </c>
      <c r="AD46">
        <v>768</v>
      </c>
      <c r="AE46">
        <v>688</v>
      </c>
      <c r="AF46">
        <v>403</v>
      </c>
      <c r="AG46">
        <v>211</v>
      </c>
      <c r="AH46">
        <v>35</v>
      </c>
      <c r="AI46" s="5">
        <v>49.183431952662701</v>
      </c>
      <c r="AJ46" s="5">
        <v>50.816568047337299</v>
      </c>
      <c r="AK46" s="5">
        <v>2.53254437869822</v>
      </c>
      <c r="AL46" s="5">
        <v>14.2721893491124</v>
      </c>
      <c r="AM46" s="5">
        <v>17.8934911242604</v>
      </c>
      <c r="AN46" s="5">
        <v>15.4792899408284</v>
      </c>
      <c r="AO46" s="5">
        <v>18.177514792899402</v>
      </c>
      <c r="AP46" s="5">
        <v>16.284023668639101</v>
      </c>
      <c r="AQ46" s="5">
        <v>9.5384615384615401</v>
      </c>
      <c r="AR46" s="5">
        <v>4.9940828402366897</v>
      </c>
      <c r="AS46" s="5">
        <v>0.828402366863905</v>
      </c>
    </row>
    <row r="47" spans="1:45" x14ac:dyDescent="0.25">
      <c r="A47" t="s">
        <v>155</v>
      </c>
      <c r="B47" t="s">
        <v>156</v>
      </c>
      <c r="C47" t="s">
        <v>113</v>
      </c>
      <c r="D47">
        <v>20.51</v>
      </c>
      <c r="E47" s="2">
        <f t="shared" si="1"/>
        <v>2643.1237000000001</v>
      </c>
      <c r="F47">
        <v>23.24</v>
      </c>
      <c r="G47" s="2">
        <f t="shared" si="2"/>
        <v>2994.9387999999999</v>
      </c>
      <c r="H47">
        <v>30.76</v>
      </c>
      <c r="I47" s="2">
        <f t="shared" si="3"/>
        <v>3964.0412000000001</v>
      </c>
      <c r="J47">
        <v>12.89</v>
      </c>
      <c r="K47" s="2">
        <f t="shared" si="4"/>
        <v>1661.1342999999999</v>
      </c>
      <c r="L47">
        <v>9.84</v>
      </c>
      <c r="M47" s="2">
        <f t="shared" si="5"/>
        <v>1268.0808</v>
      </c>
      <c r="N47">
        <v>0.84</v>
      </c>
      <c r="O47" s="2">
        <f t="shared" si="6"/>
        <v>108.2508</v>
      </c>
      <c r="P47">
        <v>1.46</v>
      </c>
      <c r="Q47" s="2">
        <f t="shared" si="7"/>
        <v>188.15020000000001</v>
      </c>
      <c r="R47">
        <v>0.47</v>
      </c>
      <c r="S47" s="3">
        <f t="shared" si="10"/>
        <v>60.568899999999992</v>
      </c>
      <c r="T47" t="s">
        <v>114</v>
      </c>
      <c r="U47" s="4">
        <f t="shared" si="8"/>
        <v>12888.288700000001</v>
      </c>
      <c r="V47" s="4">
        <f t="shared" si="9"/>
        <v>1.2887000000009721</v>
      </c>
      <c r="W47" s="3">
        <v>12887</v>
      </c>
      <c r="X47">
        <v>6589</v>
      </c>
      <c r="Y47">
        <v>6298</v>
      </c>
      <c r="Z47">
        <v>421</v>
      </c>
      <c r="AA47">
        <v>2041</v>
      </c>
      <c r="AB47">
        <v>2314</v>
      </c>
      <c r="AC47">
        <v>2123</v>
      </c>
      <c r="AD47">
        <v>2051</v>
      </c>
      <c r="AE47">
        <v>2078</v>
      </c>
      <c r="AF47">
        <v>1217</v>
      </c>
      <c r="AG47">
        <v>540</v>
      </c>
      <c r="AH47">
        <v>102</v>
      </c>
      <c r="AI47" s="5">
        <v>51.129044773803102</v>
      </c>
      <c r="AJ47" s="5">
        <v>48.870955226196898</v>
      </c>
      <c r="AK47" s="5">
        <v>3.2668580740280899</v>
      </c>
      <c r="AL47" s="5">
        <v>15.837665864825</v>
      </c>
      <c r="AM47" s="5">
        <v>17.956079770311199</v>
      </c>
      <c r="AN47" s="5">
        <v>16.473966012260401</v>
      </c>
      <c r="AO47" s="5">
        <v>15.915263443780599</v>
      </c>
      <c r="AP47" s="5">
        <v>16.124776906960498</v>
      </c>
      <c r="AQ47" s="5">
        <v>9.4436253588888004</v>
      </c>
      <c r="AR47" s="5">
        <v>4.1902692635989798</v>
      </c>
      <c r="AS47" s="5">
        <v>0.79149530534647305</v>
      </c>
    </row>
    <row r="48" spans="1:45" x14ac:dyDescent="0.25">
      <c r="A48" t="s">
        <v>157</v>
      </c>
      <c r="B48" t="s">
        <v>158</v>
      </c>
      <c r="C48" t="s">
        <v>55</v>
      </c>
      <c r="D48">
        <v>19.77</v>
      </c>
      <c r="E48" s="2">
        <f t="shared" si="1"/>
        <v>407.85509999999999</v>
      </c>
      <c r="F48">
        <v>21.82</v>
      </c>
      <c r="G48" s="2">
        <f t="shared" si="2"/>
        <v>450.14660000000003</v>
      </c>
      <c r="H48">
        <v>30.75</v>
      </c>
      <c r="I48" s="2">
        <f t="shared" si="3"/>
        <v>634.37249999999995</v>
      </c>
      <c r="J48">
        <v>16.68</v>
      </c>
      <c r="K48" s="2">
        <f t="shared" si="4"/>
        <v>344.10839999999996</v>
      </c>
      <c r="L48">
        <v>8.44</v>
      </c>
      <c r="M48" s="2">
        <f t="shared" si="5"/>
        <v>174.11719999999997</v>
      </c>
      <c r="N48">
        <v>0.49</v>
      </c>
      <c r="O48" s="2">
        <f t="shared" si="6"/>
        <v>10.108700000000001</v>
      </c>
      <c r="P48">
        <v>1.48</v>
      </c>
      <c r="Q48" s="2">
        <f t="shared" si="7"/>
        <v>30.532399999999999</v>
      </c>
      <c r="R48">
        <v>0.56000000000000005</v>
      </c>
      <c r="S48" s="3">
        <f t="shared" si="10"/>
        <v>11.552800000000001</v>
      </c>
      <c r="T48" t="s">
        <v>56</v>
      </c>
      <c r="U48" s="4">
        <f t="shared" si="8"/>
        <v>2062.7937000000002</v>
      </c>
      <c r="V48" s="4">
        <f t="shared" si="9"/>
        <v>-0.20629999999982829</v>
      </c>
      <c r="W48" s="3">
        <v>2063</v>
      </c>
      <c r="X48">
        <v>988</v>
      </c>
      <c r="Y48">
        <v>1075</v>
      </c>
      <c r="Z48">
        <v>24</v>
      </c>
      <c r="AA48">
        <v>191</v>
      </c>
      <c r="AB48">
        <v>391</v>
      </c>
      <c r="AC48">
        <v>388</v>
      </c>
      <c r="AD48">
        <v>414</v>
      </c>
      <c r="AE48">
        <v>334</v>
      </c>
      <c r="AF48">
        <v>222</v>
      </c>
      <c r="AG48">
        <v>83</v>
      </c>
      <c r="AH48">
        <v>16</v>
      </c>
      <c r="AI48" s="5">
        <v>47.891420261754703</v>
      </c>
      <c r="AJ48" s="5">
        <v>52.108579738245297</v>
      </c>
      <c r="AK48" s="5">
        <v>1.16335433834222</v>
      </c>
      <c r="AL48" s="5">
        <v>9.2583616093068404</v>
      </c>
      <c r="AM48" s="5">
        <v>18.952981095491999</v>
      </c>
      <c r="AN48" s="5">
        <v>18.807561803199199</v>
      </c>
      <c r="AO48" s="5">
        <v>20.067862336403302</v>
      </c>
      <c r="AP48" s="5">
        <v>16.190014541929202</v>
      </c>
      <c r="AQ48" s="5">
        <v>10.761027629665501</v>
      </c>
      <c r="AR48" s="5">
        <v>4.0232670867668396</v>
      </c>
      <c r="AS48" s="5">
        <v>0.77556955889481305</v>
      </c>
    </row>
    <row r="49" spans="1:45" x14ac:dyDescent="0.25">
      <c r="A49" t="s">
        <v>159</v>
      </c>
      <c r="B49" t="s">
        <v>160</v>
      </c>
      <c r="C49" t="s">
        <v>81</v>
      </c>
      <c r="D49">
        <v>18.16</v>
      </c>
      <c r="E49" s="2">
        <f t="shared" si="1"/>
        <v>2561.1048000000001</v>
      </c>
      <c r="F49">
        <v>29.81</v>
      </c>
      <c r="G49" s="2">
        <f t="shared" si="2"/>
        <v>4204.1043</v>
      </c>
      <c r="H49">
        <v>30.42</v>
      </c>
      <c r="I49" s="2">
        <f t="shared" si="3"/>
        <v>4290.1325999999999</v>
      </c>
      <c r="J49">
        <v>11.92</v>
      </c>
      <c r="K49" s="2">
        <f t="shared" si="4"/>
        <v>1681.0776000000001</v>
      </c>
      <c r="L49">
        <v>7.32</v>
      </c>
      <c r="M49" s="2">
        <f t="shared" si="5"/>
        <v>1032.3396</v>
      </c>
      <c r="N49">
        <v>0.76</v>
      </c>
      <c r="O49" s="2">
        <f t="shared" si="6"/>
        <v>107.1828</v>
      </c>
      <c r="P49">
        <v>1.27</v>
      </c>
      <c r="Q49" s="2">
        <f t="shared" si="7"/>
        <v>179.10810000000001</v>
      </c>
      <c r="R49">
        <v>0.36</v>
      </c>
      <c r="S49" s="3">
        <f t="shared" si="10"/>
        <v>50.770800000000001</v>
      </c>
      <c r="T49" t="s">
        <v>82</v>
      </c>
      <c r="U49" s="4">
        <f t="shared" si="8"/>
        <v>14105.820599999999</v>
      </c>
      <c r="V49" s="4">
        <f t="shared" si="9"/>
        <v>2.8205999999991036</v>
      </c>
      <c r="W49" s="3">
        <v>14103</v>
      </c>
      <c r="X49">
        <v>7180</v>
      </c>
      <c r="Y49">
        <v>6923</v>
      </c>
      <c r="Z49">
        <v>449</v>
      </c>
      <c r="AA49">
        <v>2078</v>
      </c>
      <c r="AB49">
        <v>2381</v>
      </c>
      <c r="AC49">
        <v>2167</v>
      </c>
      <c r="AD49">
        <v>2599</v>
      </c>
      <c r="AE49">
        <v>2166</v>
      </c>
      <c r="AF49">
        <v>1465</v>
      </c>
      <c r="AG49">
        <v>665</v>
      </c>
      <c r="AH49">
        <v>133</v>
      </c>
      <c r="AI49" s="5">
        <v>50.9111536552507</v>
      </c>
      <c r="AJ49" s="5">
        <v>49.0888463447493</v>
      </c>
      <c r="AK49" s="5">
        <v>3.1837197759342</v>
      </c>
      <c r="AL49" s="5">
        <v>14.7344536623413</v>
      </c>
      <c r="AM49" s="5">
        <v>16.882932709352598</v>
      </c>
      <c r="AN49" s="5">
        <v>15.3655250655889</v>
      </c>
      <c r="AO49" s="5">
        <v>18.428703112812901</v>
      </c>
      <c r="AP49" s="5">
        <v>15.3584343756648</v>
      </c>
      <c r="AQ49" s="5">
        <v>10.3878607388499</v>
      </c>
      <c r="AR49" s="5">
        <v>4.7153087995462002</v>
      </c>
      <c r="AS49" s="5">
        <v>0.94306175990923902</v>
      </c>
    </row>
    <row r="50" spans="1:45" x14ac:dyDescent="0.25">
      <c r="A50" t="s">
        <v>161</v>
      </c>
      <c r="B50" t="s">
        <v>162</v>
      </c>
      <c r="C50" t="s">
        <v>93</v>
      </c>
      <c r="D50">
        <v>19.829999999999998</v>
      </c>
      <c r="E50" s="2">
        <f t="shared" si="1"/>
        <v>4937.2734</v>
      </c>
      <c r="F50">
        <v>26.48</v>
      </c>
      <c r="G50" s="2">
        <f t="shared" si="2"/>
        <v>6592.9904000000006</v>
      </c>
      <c r="H50">
        <v>30.19</v>
      </c>
      <c r="I50" s="2">
        <f t="shared" si="3"/>
        <v>7516.7061999999996</v>
      </c>
      <c r="J50">
        <v>14.55</v>
      </c>
      <c r="K50" s="2">
        <f t="shared" si="4"/>
        <v>3622.6590000000001</v>
      </c>
      <c r="L50">
        <v>6.29</v>
      </c>
      <c r="M50" s="2">
        <f t="shared" si="5"/>
        <v>1566.0842000000002</v>
      </c>
      <c r="N50">
        <v>0.88</v>
      </c>
      <c r="O50" s="2">
        <f t="shared" si="6"/>
        <v>219.10240000000002</v>
      </c>
      <c r="P50">
        <v>1.1499999999999999</v>
      </c>
      <c r="Q50" s="2">
        <f t="shared" si="7"/>
        <v>286.327</v>
      </c>
      <c r="R50">
        <v>0.63</v>
      </c>
      <c r="S50" s="3">
        <f t="shared" si="10"/>
        <v>156.85739999999998</v>
      </c>
      <c r="T50" t="s">
        <v>94</v>
      </c>
      <c r="U50" s="4">
        <f t="shared" si="8"/>
        <v>24898</v>
      </c>
      <c r="V50" s="4">
        <f t="shared" si="9"/>
        <v>0</v>
      </c>
      <c r="W50" s="3">
        <v>24898</v>
      </c>
      <c r="X50">
        <v>12164</v>
      </c>
      <c r="Y50">
        <v>12734</v>
      </c>
      <c r="Z50">
        <v>840</v>
      </c>
      <c r="AA50">
        <v>4321</v>
      </c>
      <c r="AB50">
        <v>5461</v>
      </c>
      <c r="AC50">
        <v>4620</v>
      </c>
      <c r="AD50">
        <v>4186</v>
      </c>
      <c r="AE50">
        <v>3015</v>
      </c>
      <c r="AF50">
        <v>1488</v>
      </c>
      <c r="AG50">
        <v>859</v>
      </c>
      <c r="AH50">
        <v>108</v>
      </c>
      <c r="AI50" s="5">
        <v>48.855329745361097</v>
      </c>
      <c r="AJ50" s="5">
        <v>51.144670254638903</v>
      </c>
      <c r="AK50" s="5">
        <v>3.3737649610410498</v>
      </c>
      <c r="AL50" s="5">
        <v>17.3548076150695</v>
      </c>
      <c r="AM50" s="5">
        <v>21.933488633625199</v>
      </c>
      <c r="AN50" s="5">
        <v>18.555707285725799</v>
      </c>
      <c r="AO50" s="5">
        <v>16.812595389187901</v>
      </c>
      <c r="AP50" s="5">
        <v>12.1094063780223</v>
      </c>
      <c r="AQ50" s="5">
        <v>5.9763836452727102</v>
      </c>
      <c r="AR50" s="5">
        <v>3.4500763113503101</v>
      </c>
      <c r="AS50" s="5">
        <v>0.433769780705277</v>
      </c>
    </row>
    <row r="51" spans="1:45" x14ac:dyDescent="0.25">
      <c r="A51" t="s">
        <v>163</v>
      </c>
      <c r="B51" t="s">
        <v>164</v>
      </c>
      <c r="C51" t="s">
        <v>75</v>
      </c>
      <c r="D51">
        <v>19.27</v>
      </c>
      <c r="E51" s="2">
        <f t="shared" si="1"/>
        <v>907.4242999999999</v>
      </c>
      <c r="F51">
        <v>25.86</v>
      </c>
      <c r="G51" s="2">
        <f t="shared" si="2"/>
        <v>1217.7474</v>
      </c>
      <c r="H51">
        <v>30.1</v>
      </c>
      <c r="I51" s="2">
        <f t="shared" si="3"/>
        <v>1417.4089999999999</v>
      </c>
      <c r="J51">
        <v>14.14</v>
      </c>
      <c r="K51" s="2">
        <f t="shared" si="4"/>
        <v>665.85260000000005</v>
      </c>
      <c r="L51">
        <v>8.0399999999999991</v>
      </c>
      <c r="M51" s="2">
        <f t="shared" si="5"/>
        <v>378.60359999999991</v>
      </c>
      <c r="N51">
        <v>0.92</v>
      </c>
      <c r="O51" s="2">
        <f t="shared" si="6"/>
        <v>43.322800000000001</v>
      </c>
      <c r="P51">
        <v>1.1000000000000001</v>
      </c>
      <c r="Q51" s="2">
        <f t="shared" si="7"/>
        <v>51.799000000000007</v>
      </c>
      <c r="R51">
        <v>0.57999999999999996</v>
      </c>
      <c r="S51" s="3">
        <f t="shared" si="10"/>
        <v>27.312199999999997</v>
      </c>
      <c r="T51" t="s">
        <v>76</v>
      </c>
      <c r="U51" s="4">
        <f t="shared" si="8"/>
        <v>4709.4708999999993</v>
      </c>
      <c r="V51" s="4">
        <f t="shared" si="9"/>
        <v>0.47089999999934662</v>
      </c>
      <c r="W51" s="3">
        <v>4709</v>
      </c>
      <c r="X51">
        <v>2306</v>
      </c>
      <c r="Y51">
        <v>2403</v>
      </c>
      <c r="Z51">
        <v>121</v>
      </c>
      <c r="AA51">
        <v>539</v>
      </c>
      <c r="AB51">
        <v>748</v>
      </c>
      <c r="AC51">
        <v>730</v>
      </c>
      <c r="AD51">
        <v>875</v>
      </c>
      <c r="AE51">
        <v>789</v>
      </c>
      <c r="AF51">
        <v>535</v>
      </c>
      <c r="AG51">
        <v>310</v>
      </c>
      <c r="AH51">
        <v>62</v>
      </c>
      <c r="AI51" s="5">
        <v>48.970057337014197</v>
      </c>
      <c r="AJ51" s="5">
        <v>51.029942662985803</v>
      </c>
      <c r="AK51" s="5">
        <v>2.5695476746655301</v>
      </c>
      <c r="AL51" s="5">
        <v>11.4461669144192</v>
      </c>
      <c r="AM51" s="5">
        <v>15.884476534296001</v>
      </c>
      <c r="AN51" s="5">
        <v>15.5022297727755</v>
      </c>
      <c r="AO51" s="5">
        <v>18.581439796135101</v>
      </c>
      <c r="AP51" s="5">
        <v>16.7551497133149</v>
      </c>
      <c r="AQ51" s="5">
        <v>11.361223189636901</v>
      </c>
      <c r="AR51" s="5">
        <v>6.58313867063071</v>
      </c>
      <c r="AS51" s="5">
        <v>1.3166277341261401</v>
      </c>
    </row>
    <row r="52" spans="1:45" x14ac:dyDescent="0.25">
      <c r="A52" t="s">
        <v>165</v>
      </c>
      <c r="B52" t="s">
        <v>166</v>
      </c>
      <c r="C52" t="s">
        <v>93</v>
      </c>
      <c r="D52">
        <v>19.52</v>
      </c>
      <c r="E52" s="2">
        <f t="shared" si="1"/>
        <v>2764.6176</v>
      </c>
      <c r="F52">
        <v>28.66</v>
      </c>
      <c r="G52" s="2">
        <f t="shared" si="2"/>
        <v>4059.1158</v>
      </c>
      <c r="H52">
        <v>30.03</v>
      </c>
      <c r="I52" s="2">
        <f t="shared" si="3"/>
        <v>4253.1489000000001</v>
      </c>
      <c r="J52">
        <v>11.97</v>
      </c>
      <c r="K52" s="2">
        <f t="shared" si="4"/>
        <v>1695.3111000000001</v>
      </c>
      <c r="L52">
        <v>7.26</v>
      </c>
      <c r="M52" s="2">
        <f t="shared" si="5"/>
        <v>1028.2338</v>
      </c>
      <c r="N52">
        <v>0.94</v>
      </c>
      <c r="O52" s="2">
        <f t="shared" si="6"/>
        <v>133.13219999999998</v>
      </c>
      <c r="P52">
        <v>1.01</v>
      </c>
      <c r="Q52" s="2">
        <f t="shared" si="7"/>
        <v>143.0463</v>
      </c>
      <c r="R52">
        <v>0.61</v>
      </c>
      <c r="S52" s="3">
        <f t="shared" si="10"/>
        <v>86.394300000000001</v>
      </c>
      <c r="T52" t="s">
        <v>94</v>
      </c>
      <c r="U52" s="4">
        <f t="shared" si="8"/>
        <v>14163</v>
      </c>
      <c r="V52" s="4">
        <f t="shared" si="9"/>
        <v>0</v>
      </c>
      <c r="W52" s="3">
        <v>14163</v>
      </c>
      <c r="X52">
        <v>7080</v>
      </c>
      <c r="Y52">
        <v>7083</v>
      </c>
      <c r="Z52">
        <v>463</v>
      </c>
      <c r="AA52">
        <v>2418</v>
      </c>
      <c r="AB52">
        <v>2757</v>
      </c>
      <c r="AC52">
        <v>2372</v>
      </c>
      <c r="AD52">
        <v>2396</v>
      </c>
      <c r="AE52">
        <v>1825</v>
      </c>
      <c r="AF52">
        <v>1102</v>
      </c>
      <c r="AG52">
        <v>701</v>
      </c>
      <c r="AH52">
        <v>129</v>
      </c>
      <c r="AI52" s="5">
        <v>49.989409023512003</v>
      </c>
      <c r="AJ52" s="5">
        <v>50.010590976487997</v>
      </c>
      <c r="AK52" s="5">
        <v>3.2690814093059402</v>
      </c>
      <c r="AL52" s="5">
        <v>17.072654098707901</v>
      </c>
      <c r="AM52" s="5">
        <v>19.466214785003199</v>
      </c>
      <c r="AN52" s="5">
        <v>16.7478641530749</v>
      </c>
      <c r="AO52" s="5">
        <v>16.917319776883399</v>
      </c>
      <c r="AP52" s="5">
        <v>12.8856880604392</v>
      </c>
      <c r="AQ52" s="5">
        <v>7.7808373932076504</v>
      </c>
      <c r="AR52" s="5">
        <v>4.9495163454070497</v>
      </c>
      <c r="AS52" s="5">
        <v>0.91082397797076897</v>
      </c>
    </row>
    <row r="53" spans="1:45" x14ac:dyDescent="0.25">
      <c r="A53" t="s">
        <v>167</v>
      </c>
      <c r="B53" t="s">
        <v>168</v>
      </c>
      <c r="C53" t="s">
        <v>81</v>
      </c>
      <c r="D53">
        <v>26.09</v>
      </c>
      <c r="E53" s="2">
        <f t="shared" si="1"/>
        <v>11681.014799999999</v>
      </c>
      <c r="F53">
        <v>23.6</v>
      </c>
      <c r="G53" s="2">
        <f t="shared" si="2"/>
        <v>10566.191999999999</v>
      </c>
      <c r="H53">
        <v>29.96</v>
      </c>
      <c r="I53" s="2">
        <f t="shared" si="3"/>
        <v>13413.691200000001</v>
      </c>
      <c r="J53">
        <v>11.81</v>
      </c>
      <c r="K53" s="2">
        <f t="shared" si="4"/>
        <v>5287.5732000000007</v>
      </c>
      <c r="L53">
        <v>6.05</v>
      </c>
      <c r="M53" s="2">
        <f t="shared" si="5"/>
        <v>2708.7059999999997</v>
      </c>
      <c r="N53">
        <v>0.73</v>
      </c>
      <c r="O53" s="2">
        <f t="shared" si="6"/>
        <v>326.8356</v>
      </c>
      <c r="P53">
        <v>1.23</v>
      </c>
      <c r="Q53" s="2">
        <f t="shared" si="7"/>
        <v>550.69560000000001</v>
      </c>
      <c r="R53">
        <v>0.54</v>
      </c>
      <c r="S53" s="3">
        <f t="shared" si="10"/>
        <v>241.7688</v>
      </c>
      <c r="T53" t="s">
        <v>82</v>
      </c>
      <c r="U53" s="4">
        <f t="shared" si="8"/>
        <v>44776.477200000001</v>
      </c>
      <c r="V53" s="4">
        <f t="shared" si="9"/>
        <v>4.4772000000011758</v>
      </c>
      <c r="W53" s="3">
        <v>44772</v>
      </c>
      <c r="X53">
        <v>22759</v>
      </c>
      <c r="Y53">
        <v>22013</v>
      </c>
      <c r="Z53">
        <v>1266</v>
      </c>
      <c r="AA53">
        <v>6491</v>
      </c>
      <c r="AB53">
        <v>7654</v>
      </c>
      <c r="AC53">
        <v>6651</v>
      </c>
      <c r="AD53">
        <v>8813</v>
      </c>
      <c r="AE53">
        <v>7625</v>
      </c>
      <c r="AF53">
        <v>4163</v>
      </c>
      <c r="AG53">
        <v>1831</v>
      </c>
      <c r="AH53">
        <v>278</v>
      </c>
      <c r="AI53" s="5">
        <v>50.8331099794514</v>
      </c>
      <c r="AJ53" s="5">
        <v>49.1668900205486</v>
      </c>
      <c r="AK53" s="5">
        <v>2.8276601447333198</v>
      </c>
      <c r="AL53" s="5">
        <v>14.4979004735102</v>
      </c>
      <c r="AM53" s="5">
        <v>17.095506119896399</v>
      </c>
      <c r="AN53" s="5">
        <v>14.855266684535</v>
      </c>
      <c r="AO53" s="5">
        <v>19.684177611006898</v>
      </c>
      <c r="AP53" s="5">
        <v>17.030733494148102</v>
      </c>
      <c r="AQ53" s="5">
        <v>9.2982221031001497</v>
      </c>
      <c r="AR53" s="5">
        <v>4.0896095774144596</v>
      </c>
      <c r="AS53" s="5">
        <v>0.62092379165549905</v>
      </c>
    </row>
    <row r="54" spans="1:45" x14ac:dyDescent="0.25">
      <c r="A54" t="s">
        <v>169</v>
      </c>
      <c r="B54" t="s">
        <v>170</v>
      </c>
      <c r="C54" t="s">
        <v>61</v>
      </c>
      <c r="D54">
        <v>26.09</v>
      </c>
      <c r="E54" s="2">
        <f t="shared" si="1"/>
        <v>33887.518300000003</v>
      </c>
      <c r="F54">
        <v>20.420000000000002</v>
      </c>
      <c r="G54" s="2">
        <f t="shared" si="2"/>
        <v>26522.9254</v>
      </c>
      <c r="H54">
        <v>29.85</v>
      </c>
      <c r="I54" s="2">
        <f t="shared" si="3"/>
        <v>38771.269500000002</v>
      </c>
      <c r="J54">
        <v>13.64</v>
      </c>
      <c r="K54" s="2">
        <f t="shared" si="4"/>
        <v>17716.586800000001</v>
      </c>
      <c r="L54">
        <v>7.02</v>
      </c>
      <c r="M54" s="2">
        <f t="shared" si="5"/>
        <v>9118.0673999999999</v>
      </c>
      <c r="N54">
        <v>1.19</v>
      </c>
      <c r="O54" s="2">
        <f t="shared" si="6"/>
        <v>1545.6552999999999</v>
      </c>
      <c r="P54">
        <v>1.19</v>
      </c>
      <c r="Q54" s="2">
        <f t="shared" si="7"/>
        <v>1545.6552999999999</v>
      </c>
      <c r="R54">
        <v>0.62</v>
      </c>
      <c r="S54" s="3">
        <f t="shared" si="10"/>
        <v>805.29939999999999</v>
      </c>
      <c r="T54" t="s">
        <v>62</v>
      </c>
      <c r="U54" s="4">
        <f t="shared" si="8"/>
        <v>129912.9774</v>
      </c>
      <c r="V54" s="4">
        <f t="shared" si="9"/>
        <v>25.977400000003399</v>
      </c>
      <c r="W54" s="3">
        <v>129887</v>
      </c>
      <c r="X54">
        <v>65025</v>
      </c>
      <c r="Y54">
        <v>64862</v>
      </c>
      <c r="Z54">
        <v>4681</v>
      </c>
      <c r="AA54">
        <v>22332</v>
      </c>
      <c r="AB54">
        <v>28139</v>
      </c>
      <c r="AC54">
        <v>22804</v>
      </c>
      <c r="AD54">
        <v>20941</v>
      </c>
      <c r="AE54">
        <v>17289</v>
      </c>
      <c r="AF54">
        <v>9106</v>
      </c>
      <c r="AG54">
        <v>3828</v>
      </c>
      <c r="AH54">
        <v>767</v>
      </c>
      <c r="AI54" s="5">
        <v>50.0627468491843</v>
      </c>
      <c r="AJ54" s="5">
        <v>49.9372531508157</v>
      </c>
      <c r="AK54" s="5">
        <v>3.6039018531492801</v>
      </c>
      <c r="AL54" s="5">
        <v>17.1934065764857</v>
      </c>
      <c r="AM54" s="5">
        <v>21.6642158183652</v>
      </c>
      <c r="AN54" s="5">
        <v>17.556799371761599</v>
      </c>
      <c r="AO54" s="5">
        <v>16.1224756904078</v>
      </c>
      <c r="AP54" s="5">
        <v>13.310800926959599</v>
      </c>
      <c r="AQ54" s="5">
        <v>7.0107093088607799</v>
      </c>
      <c r="AR54" s="5">
        <v>2.9471771616867</v>
      </c>
      <c r="AS54" s="5">
        <v>0.59051329232332705</v>
      </c>
    </row>
    <row r="55" spans="1:45" x14ac:dyDescent="0.25">
      <c r="A55" t="s">
        <v>171</v>
      </c>
      <c r="B55" t="s">
        <v>172</v>
      </c>
      <c r="C55" t="s">
        <v>75</v>
      </c>
      <c r="D55">
        <v>26.08</v>
      </c>
      <c r="E55" s="2">
        <f t="shared" si="1"/>
        <v>6533.5615999999991</v>
      </c>
      <c r="F55">
        <v>19.920000000000002</v>
      </c>
      <c r="G55" s="2">
        <f t="shared" si="2"/>
        <v>4990.3584000000001</v>
      </c>
      <c r="H55">
        <v>29.77</v>
      </c>
      <c r="I55" s="2">
        <f t="shared" si="3"/>
        <v>7457.9804000000004</v>
      </c>
      <c r="J55">
        <v>13.8</v>
      </c>
      <c r="K55" s="2">
        <f t="shared" si="4"/>
        <v>3457.1760000000004</v>
      </c>
      <c r="L55">
        <v>8.09</v>
      </c>
      <c r="M55" s="2">
        <f t="shared" si="5"/>
        <v>2026.7067999999999</v>
      </c>
      <c r="N55">
        <v>0.72</v>
      </c>
      <c r="O55" s="2">
        <f t="shared" si="6"/>
        <v>180.37439999999998</v>
      </c>
      <c r="P55">
        <v>0.99</v>
      </c>
      <c r="Q55" s="2">
        <f t="shared" si="7"/>
        <v>248.01480000000001</v>
      </c>
      <c r="R55">
        <v>0.63</v>
      </c>
      <c r="S55" s="3">
        <f t="shared" si="10"/>
        <v>157.82759999999999</v>
      </c>
      <c r="T55" t="s">
        <v>76</v>
      </c>
      <c r="U55" s="4">
        <f t="shared" si="8"/>
        <v>25052</v>
      </c>
      <c r="V55" s="4">
        <f t="shared" si="9"/>
        <v>0</v>
      </c>
      <c r="W55" s="3">
        <v>25052</v>
      </c>
      <c r="X55">
        <v>12622</v>
      </c>
      <c r="Y55">
        <v>12430</v>
      </c>
      <c r="Z55">
        <v>789</v>
      </c>
      <c r="AA55">
        <v>4042</v>
      </c>
      <c r="AB55">
        <v>4649</v>
      </c>
      <c r="AC55">
        <v>4004</v>
      </c>
      <c r="AD55">
        <v>4332</v>
      </c>
      <c r="AE55">
        <v>3791</v>
      </c>
      <c r="AF55">
        <v>2179</v>
      </c>
      <c r="AG55">
        <v>1043</v>
      </c>
      <c r="AH55">
        <v>223</v>
      </c>
      <c r="AI55" s="5">
        <v>50.383202937889202</v>
      </c>
      <c r="AJ55" s="5">
        <v>49.616797062110798</v>
      </c>
      <c r="AK55" s="5">
        <v>3.1494491457767801</v>
      </c>
      <c r="AL55" s="5">
        <v>16.134440364042799</v>
      </c>
      <c r="AM55" s="5">
        <v>18.557400606738</v>
      </c>
      <c r="AN55" s="5">
        <v>15.982755867794999</v>
      </c>
      <c r="AO55" s="5">
        <v>17.292032572249699</v>
      </c>
      <c r="AP55" s="5">
        <v>15.1325243493533</v>
      </c>
      <c r="AQ55" s="5">
        <v>8.6979083506306907</v>
      </c>
      <c r="AR55" s="5">
        <v>4.1633402522752698</v>
      </c>
      <c r="AS55" s="5">
        <v>0.89014849113843197</v>
      </c>
    </row>
    <row r="56" spans="1:45" x14ac:dyDescent="0.25">
      <c r="A56" t="s">
        <v>173</v>
      </c>
      <c r="B56" t="s">
        <v>174</v>
      </c>
      <c r="C56" t="s">
        <v>93</v>
      </c>
      <c r="D56">
        <v>24.18</v>
      </c>
      <c r="E56" s="2">
        <f t="shared" si="1"/>
        <v>3445.8917999999999</v>
      </c>
      <c r="F56">
        <v>24.75</v>
      </c>
      <c r="G56" s="2">
        <f t="shared" si="2"/>
        <v>3527.1224999999999</v>
      </c>
      <c r="H56">
        <v>29.71</v>
      </c>
      <c r="I56" s="2">
        <f t="shared" si="3"/>
        <v>4233.9721</v>
      </c>
      <c r="J56">
        <v>10.16</v>
      </c>
      <c r="K56" s="2">
        <f t="shared" si="4"/>
        <v>1447.9016000000001</v>
      </c>
      <c r="L56">
        <v>8.6</v>
      </c>
      <c r="M56" s="2">
        <f t="shared" si="5"/>
        <v>1225.586</v>
      </c>
      <c r="N56">
        <v>1.02</v>
      </c>
      <c r="O56" s="2">
        <f t="shared" si="6"/>
        <v>145.36019999999999</v>
      </c>
      <c r="P56">
        <v>0.99</v>
      </c>
      <c r="Q56" s="2">
        <f t="shared" si="7"/>
        <v>141.0849</v>
      </c>
      <c r="R56">
        <v>0.56999999999999995</v>
      </c>
      <c r="S56" s="3">
        <f t="shared" si="10"/>
        <v>81.230699999999999</v>
      </c>
      <c r="T56" t="s">
        <v>94</v>
      </c>
      <c r="U56" s="4">
        <f t="shared" si="8"/>
        <v>14248.149799999999</v>
      </c>
      <c r="V56" s="4">
        <f t="shared" si="9"/>
        <v>-2.8502000000007683</v>
      </c>
      <c r="W56" s="3">
        <v>14251</v>
      </c>
      <c r="X56">
        <v>7185</v>
      </c>
      <c r="Y56">
        <v>7066</v>
      </c>
      <c r="Z56">
        <v>399</v>
      </c>
      <c r="AA56">
        <v>2156</v>
      </c>
      <c r="AB56">
        <v>2639</v>
      </c>
      <c r="AC56">
        <v>2399</v>
      </c>
      <c r="AD56">
        <v>2521</v>
      </c>
      <c r="AE56">
        <v>1999</v>
      </c>
      <c r="AF56">
        <v>1265</v>
      </c>
      <c r="AG56">
        <v>747</v>
      </c>
      <c r="AH56">
        <v>126</v>
      </c>
      <c r="AI56" s="5">
        <v>50.417514560381697</v>
      </c>
      <c r="AJ56" s="5">
        <v>49.582485439618303</v>
      </c>
      <c r="AK56" s="5">
        <v>2.7998035225598201</v>
      </c>
      <c r="AL56" s="5">
        <v>15.128762893832</v>
      </c>
      <c r="AM56" s="5">
        <v>18.5179987369307</v>
      </c>
      <c r="AN56" s="5">
        <v>16.833906392533901</v>
      </c>
      <c r="AO56" s="5">
        <v>17.689986667602302</v>
      </c>
      <c r="AP56" s="5">
        <v>14.027085818539099</v>
      </c>
      <c r="AQ56" s="5">
        <v>8.8765700652585799</v>
      </c>
      <c r="AR56" s="5">
        <v>5.2417374219352997</v>
      </c>
      <c r="AS56" s="5">
        <v>0.88414848080836395</v>
      </c>
    </row>
    <row r="57" spans="1:45" x14ac:dyDescent="0.25">
      <c r="A57" t="s">
        <v>175</v>
      </c>
      <c r="B57" t="s">
        <v>176</v>
      </c>
      <c r="C57" t="s">
        <v>75</v>
      </c>
      <c r="D57">
        <v>30.98</v>
      </c>
      <c r="E57" s="2">
        <f t="shared" si="1"/>
        <v>8790.8847999999998</v>
      </c>
      <c r="F57">
        <v>18.32</v>
      </c>
      <c r="G57" s="2">
        <f t="shared" si="2"/>
        <v>5198.4831999999997</v>
      </c>
      <c r="H57">
        <v>29.52</v>
      </c>
      <c r="I57" s="2">
        <f t="shared" si="3"/>
        <v>8376.5951999999997</v>
      </c>
      <c r="J57">
        <v>10.65</v>
      </c>
      <c r="K57" s="2">
        <f t="shared" si="4"/>
        <v>3022.0440000000003</v>
      </c>
      <c r="L57">
        <v>7.91</v>
      </c>
      <c r="M57" s="2">
        <f t="shared" si="5"/>
        <v>2244.5416</v>
      </c>
      <c r="N57">
        <v>0.99</v>
      </c>
      <c r="O57" s="2">
        <f t="shared" si="6"/>
        <v>280.92239999999998</v>
      </c>
      <c r="P57">
        <v>1.1599999999999999</v>
      </c>
      <c r="Q57" s="2">
        <f t="shared" si="7"/>
        <v>329.16159999999996</v>
      </c>
      <c r="R57">
        <v>0.46</v>
      </c>
      <c r="S57" s="3">
        <f t="shared" si="10"/>
        <v>130.52960000000002</v>
      </c>
      <c r="T57" t="s">
        <v>76</v>
      </c>
      <c r="U57" s="4">
        <f t="shared" si="8"/>
        <v>28373.162400000001</v>
      </c>
      <c r="V57" s="4">
        <f t="shared" si="9"/>
        <v>-2.837599999998929</v>
      </c>
      <c r="W57" s="3">
        <v>28376</v>
      </c>
      <c r="X57">
        <v>14462</v>
      </c>
      <c r="Y57">
        <v>13914</v>
      </c>
      <c r="Z57">
        <v>867</v>
      </c>
      <c r="AA57">
        <v>4375</v>
      </c>
      <c r="AB57">
        <v>5114</v>
      </c>
      <c r="AC57">
        <v>4533</v>
      </c>
      <c r="AD57">
        <v>4843</v>
      </c>
      <c r="AE57">
        <v>4262</v>
      </c>
      <c r="AF57">
        <v>2789</v>
      </c>
      <c r="AG57">
        <v>1323</v>
      </c>
      <c r="AH57">
        <v>270</v>
      </c>
      <c r="AI57" s="5">
        <v>50.965604736396998</v>
      </c>
      <c r="AJ57" s="5">
        <v>49.034395263603002</v>
      </c>
      <c r="AK57" s="5">
        <v>3.0553989286721199</v>
      </c>
      <c r="AL57" s="5">
        <v>15.417958838455</v>
      </c>
      <c r="AM57" s="5">
        <v>18.022272342824898</v>
      </c>
      <c r="AN57" s="5">
        <v>15.974767409078099</v>
      </c>
      <c r="AO57" s="5">
        <v>17.0672399210601</v>
      </c>
      <c r="AP57" s="5">
        <v>15.0197349873132</v>
      </c>
      <c r="AQ57" s="5">
        <v>9.8287285029602494</v>
      </c>
      <c r="AR57" s="5">
        <v>4.6623907527488004</v>
      </c>
      <c r="AS57" s="5">
        <v>0.95150831688751103</v>
      </c>
    </row>
    <row r="58" spans="1:45" x14ac:dyDescent="0.25">
      <c r="A58" t="s">
        <v>177</v>
      </c>
      <c r="B58" t="s">
        <v>178</v>
      </c>
      <c r="C58" t="s">
        <v>81</v>
      </c>
      <c r="D58">
        <v>13.02</v>
      </c>
      <c r="E58" s="2">
        <f t="shared" si="1"/>
        <v>1271.2728</v>
      </c>
      <c r="F58">
        <v>35.43</v>
      </c>
      <c r="G58" s="2">
        <f t="shared" si="2"/>
        <v>3459.3852000000002</v>
      </c>
      <c r="H58">
        <v>29.35</v>
      </c>
      <c r="I58" s="2">
        <f t="shared" si="3"/>
        <v>2865.7340000000004</v>
      </c>
      <c r="J58">
        <v>12.6</v>
      </c>
      <c r="K58" s="2">
        <f t="shared" si="4"/>
        <v>1230.2639999999999</v>
      </c>
      <c r="L58">
        <v>7.79</v>
      </c>
      <c r="M58" s="2">
        <f t="shared" si="5"/>
        <v>760.61559999999997</v>
      </c>
      <c r="N58">
        <v>0.5</v>
      </c>
      <c r="O58" s="2">
        <f t="shared" si="6"/>
        <v>48.82</v>
      </c>
      <c r="P58">
        <v>1.08</v>
      </c>
      <c r="Q58" s="2">
        <f t="shared" si="7"/>
        <v>105.45120000000001</v>
      </c>
      <c r="R58">
        <v>0.24</v>
      </c>
      <c r="S58" s="3">
        <f t="shared" si="10"/>
        <v>23.433600000000002</v>
      </c>
      <c r="T58" t="s">
        <v>82</v>
      </c>
      <c r="U58" s="4">
        <f t="shared" si="8"/>
        <v>9764.9764000000014</v>
      </c>
      <c r="V58" s="4">
        <f t="shared" si="9"/>
        <v>0.97640000000137661</v>
      </c>
      <c r="W58" s="3">
        <v>9764</v>
      </c>
      <c r="X58">
        <v>4878</v>
      </c>
      <c r="Y58">
        <v>4886</v>
      </c>
      <c r="Z58">
        <v>297</v>
      </c>
      <c r="AA58">
        <v>1508</v>
      </c>
      <c r="AB58">
        <v>1839</v>
      </c>
      <c r="AC58">
        <v>1469</v>
      </c>
      <c r="AD58">
        <v>1861</v>
      </c>
      <c r="AE58">
        <v>1509</v>
      </c>
      <c r="AF58">
        <v>838</v>
      </c>
      <c r="AG58">
        <v>376</v>
      </c>
      <c r="AH58">
        <v>67</v>
      </c>
      <c r="AI58" s="5">
        <v>49.959033183121697</v>
      </c>
      <c r="AJ58" s="5">
        <v>50.040966816878303</v>
      </c>
      <c r="AK58" s="5">
        <v>3.0417861532159001</v>
      </c>
      <c r="AL58" s="5">
        <v>15.4444899631299</v>
      </c>
      <c r="AM58" s="5">
        <v>18.8344940598116</v>
      </c>
      <c r="AN58" s="5">
        <v>15.045063498566201</v>
      </c>
      <c r="AO58" s="5">
        <v>19.059811552642401</v>
      </c>
      <c r="AP58" s="5">
        <v>15.4547316673494</v>
      </c>
      <c r="AQ58" s="5">
        <v>8.5825481360098301</v>
      </c>
      <c r="AR58" s="5">
        <v>3.8508807865628798</v>
      </c>
      <c r="AS58" s="5">
        <v>0.68619418271200305</v>
      </c>
    </row>
    <row r="59" spans="1:45" x14ac:dyDescent="0.25">
      <c r="A59" t="s">
        <v>179</v>
      </c>
      <c r="B59" t="s">
        <v>180</v>
      </c>
      <c r="C59" t="s">
        <v>61</v>
      </c>
      <c r="D59">
        <v>30.46</v>
      </c>
      <c r="E59" s="2">
        <f t="shared" si="1"/>
        <v>5033.8195999999998</v>
      </c>
      <c r="F59">
        <v>16.13</v>
      </c>
      <c r="G59" s="2">
        <f t="shared" si="2"/>
        <v>2665.6437999999998</v>
      </c>
      <c r="H59">
        <v>29.27</v>
      </c>
      <c r="I59" s="2">
        <f t="shared" si="3"/>
        <v>4837.1602000000003</v>
      </c>
      <c r="J59">
        <v>14.39</v>
      </c>
      <c r="K59" s="2">
        <f t="shared" si="4"/>
        <v>2378.0914000000002</v>
      </c>
      <c r="L59">
        <v>7.2</v>
      </c>
      <c r="M59" s="2">
        <f t="shared" si="5"/>
        <v>1189.8720000000001</v>
      </c>
      <c r="N59">
        <v>0.86</v>
      </c>
      <c r="O59" s="2">
        <f t="shared" si="6"/>
        <v>142.12360000000001</v>
      </c>
      <c r="P59">
        <v>1.18</v>
      </c>
      <c r="Q59" s="2">
        <f t="shared" si="7"/>
        <v>195.0068</v>
      </c>
      <c r="R59">
        <v>0.51</v>
      </c>
      <c r="S59" s="3">
        <f t="shared" si="10"/>
        <v>84.282600000000002</v>
      </c>
      <c r="T59" t="s">
        <v>62</v>
      </c>
      <c r="U59" s="4">
        <f t="shared" si="8"/>
        <v>16526</v>
      </c>
      <c r="V59" s="4">
        <f t="shared" si="9"/>
        <v>0</v>
      </c>
      <c r="W59" s="3">
        <v>16526</v>
      </c>
      <c r="X59">
        <v>8219</v>
      </c>
      <c r="Y59">
        <v>8307</v>
      </c>
      <c r="Z59">
        <v>597</v>
      </c>
      <c r="AA59">
        <v>2623</v>
      </c>
      <c r="AB59">
        <v>3208</v>
      </c>
      <c r="AC59">
        <v>2819</v>
      </c>
      <c r="AD59">
        <v>2603</v>
      </c>
      <c r="AE59">
        <v>2623</v>
      </c>
      <c r="AF59">
        <v>1425</v>
      </c>
      <c r="AG59">
        <v>529</v>
      </c>
      <c r="AH59">
        <v>99</v>
      </c>
      <c r="AI59" s="5">
        <v>49.733752874258698</v>
      </c>
      <c r="AJ59" s="5">
        <v>50.266247125741302</v>
      </c>
      <c r="AK59" s="5">
        <v>3.6124894106256802</v>
      </c>
      <c r="AL59" s="5">
        <v>15.8719593368026</v>
      </c>
      <c r="AM59" s="5">
        <v>19.411835894953398</v>
      </c>
      <c r="AN59" s="5">
        <v>17.057969260559101</v>
      </c>
      <c r="AO59" s="5">
        <v>15.7509379160111</v>
      </c>
      <c r="AP59" s="5">
        <v>15.8719593368026</v>
      </c>
      <c r="AQ59" s="5">
        <v>8.6227762313929599</v>
      </c>
      <c r="AR59" s="5">
        <v>3.2010165799346502</v>
      </c>
      <c r="AS59" s="5">
        <v>0.59905603291782605</v>
      </c>
    </row>
    <row r="60" spans="1:45" x14ac:dyDescent="0.25">
      <c r="A60" t="s">
        <v>181</v>
      </c>
      <c r="B60" t="s">
        <v>182</v>
      </c>
      <c r="C60" t="s">
        <v>81</v>
      </c>
      <c r="D60">
        <v>17.670000000000002</v>
      </c>
      <c r="E60" s="2">
        <f t="shared" si="1"/>
        <v>3433.4577000000004</v>
      </c>
      <c r="F60">
        <v>33.58</v>
      </c>
      <c r="G60" s="2">
        <f t="shared" si="2"/>
        <v>6524.9297999999999</v>
      </c>
      <c r="H60">
        <v>29.25</v>
      </c>
      <c r="I60" s="2">
        <f t="shared" si="3"/>
        <v>5683.5675000000001</v>
      </c>
      <c r="J60">
        <v>12.36</v>
      </c>
      <c r="K60" s="2">
        <f t="shared" si="4"/>
        <v>2401.6716000000001</v>
      </c>
      <c r="L60">
        <v>5.04</v>
      </c>
      <c r="M60" s="2">
        <f t="shared" si="5"/>
        <v>979.32240000000002</v>
      </c>
      <c r="N60">
        <v>0.55000000000000004</v>
      </c>
      <c r="O60" s="2">
        <f t="shared" si="6"/>
        <v>106.87050000000001</v>
      </c>
      <c r="P60">
        <v>1.1499999999999999</v>
      </c>
      <c r="Q60" s="2">
        <f t="shared" si="7"/>
        <v>223.45649999999998</v>
      </c>
      <c r="R60">
        <v>0.4</v>
      </c>
      <c r="S60" s="3">
        <f t="shared" si="10"/>
        <v>77.724000000000004</v>
      </c>
      <c r="T60" t="s">
        <v>82</v>
      </c>
      <c r="U60" s="4">
        <f t="shared" si="8"/>
        <v>19431</v>
      </c>
      <c r="V60" s="4">
        <f t="shared" si="9"/>
        <v>0</v>
      </c>
      <c r="W60" s="3">
        <v>19431</v>
      </c>
      <c r="X60">
        <v>9907</v>
      </c>
      <c r="Y60">
        <v>9524</v>
      </c>
      <c r="Z60">
        <v>725</v>
      </c>
      <c r="AA60">
        <v>3331</v>
      </c>
      <c r="AB60">
        <v>3701</v>
      </c>
      <c r="AC60">
        <v>3319</v>
      </c>
      <c r="AD60">
        <v>3470</v>
      </c>
      <c r="AE60">
        <v>2651</v>
      </c>
      <c r="AF60">
        <v>1551</v>
      </c>
      <c r="AG60">
        <v>566</v>
      </c>
      <c r="AH60">
        <v>117</v>
      </c>
      <c r="AI60" s="5">
        <v>50.9855385723843</v>
      </c>
      <c r="AJ60" s="5">
        <v>49.0144614276157</v>
      </c>
      <c r="AK60" s="5">
        <v>3.7311512531521802</v>
      </c>
      <c r="AL60" s="5">
        <v>17.142710102413702</v>
      </c>
      <c r="AM60" s="5">
        <v>19.046883845401702</v>
      </c>
      <c r="AN60" s="5">
        <v>17.0809531161546</v>
      </c>
      <c r="AO60" s="5">
        <v>17.858061859914599</v>
      </c>
      <c r="AP60" s="5">
        <v>13.643147547732999</v>
      </c>
      <c r="AQ60" s="5">
        <v>7.9820904739848704</v>
      </c>
      <c r="AR60" s="5">
        <v>2.91287118521949</v>
      </c>
      <c r="AS60" s="5">
        <v>0.60213061602593798</v>
      </c>
    </row>
    <row r="61" spans="1:45" x14ac:dyDescent="0.25">
      <c r="A61" t="s">
        <v>183</v>
      </c>
      <c r="B61" t="s">
        <v>184</v>
      </c>
      <c r="C61" t="s">
        <v>113</v>
      </c>
      <c r="D61">
        <v>29.21</v>
      </c>
      <c r="E61" s="2">
        <f t="shared" si="1"/>
        <v>13229.501100000001</v>
      </c>
      <c r="F61">
        <v>18.489999999999998</v>
      </c>
      <c r="G61" s="2">
        <f t="shared" si="2"/>
        <v>8374.3058999999994</v>
      </c>
      <c r="H61">
        <v>28.93</v>
      </c>
      <c r="I61" s="2">
        <f t="shared" si="3"/>
        <v>13102.686299999999</v>
      </c>
      <c r="J61">
        <v>12.57</v>
      </c>
      <c r="K61" s="2">
        <f t="shared" si="4"/>
        <v>5693.0787</v>
      </c>
      <c r="L61">
        <v>7.68</v>
      </c>
      <c r="M61" s="2">
        <f t="shared" si="5"/>
        <v>3478.3488000000002</v>
      </c>
      <c r="N61">
        <v>1.02</v>
      </c>
      <c r="O61" s="2">
        <f t="shared" si="6"/>
        <v>461.96820000000002</v>
      </c>
      <c r="P61">
        <v>1.6</v>
      </c>
      <c r="Q61" s="2">
        <f t="shared" si="7"/>
        <v>724.65600000000006</v>
      </c>
      <c r="R61">
        <v>0.49</v>
      </c>
      <c r="S61" s="3">
        <f t="shared" si="10"/>
        <v>221.92590000000001</v>
      </c>
      <c r="T61" t="s">
        <v>114</v>
      </c>
      <c r="U61" s="4">
        <f t="shared" si="8"/>
        <v>45286.4709</v>
      </c>
      <c r="V61" s="4">
        <f t="shared" si="9"/>
        <v>-4.5290999999997439</v>
      </c>
      <c r="W61" s="3">
        <v>45291</v>
      </c>
      <c r="X61">
        <v>23209</v>
      </c>
      <c r="Y61">
        <v>22082</v>
      </c>
      <c r="Z61">
        <v>1428</v>
      </c>
      <c r="AA61">
        <v>7326</v>
      </c>
      <c r="AB61">
        <v>8460</v>
      </c>
      <c r="AC61">
        <v>7465</v>
      </c>
      <c r="AD61">
        <v>7152</v>
      </c>
      <c r="AE61">
        <v>6847</v>
      </c>
      <c r="AF61">
        <v>4256</v>
      </c>
      <c r="AG61">
        <v>1988</v>
      </c>
      <c r="AH61">
        <v>369</v>
      </c>
      <c r="AI61" s="5">
        <v>51.244176547216902</v>
      </c>
      <c r="AJ61" s="5">
        <v>48.755823452783098</v>
      </c>
      <c r="AK61" s="5">
        <v>3.1529442935682601</v>
      </c>
      <c r="AL61" s="5">
        <v>16.175399085911099</v>
      </c>
      <c r="AM61" s="5">
        <v>18.6792077896271</v>
      </c>
      <c r="AN61" s="5">
        <v>16.482303327371898</v>
      </c>
      <c r="AO61" s="5">
        <v>15.791216798039301</v>
      </c>
      <c r="AP61" s="5">
        <v>15.117793822172199</v>
      </c>
      <c r="AQ61" s="5">
        <v>9.39701044357599</v>
      </c>
      <c r="AR61" s="5">
        <v>4.3893930361440496</v>
      </c>
      <c r="AS61" s="5">
        <v>0.81473140359011698</v>
      </c>
    </row>
    <row r="62" spans="1:45" x14ac:dyDescent="0.25">
      <c r="A62" t="s">
        <v>185</v>
      </c>
      <c r="B62" t="s">
        <v>186</v>
      </c>
      <c r="C62" t="s">
        <v>113</v>
      </c>
      <c r="D62">
        <v>23.29</v>
      </c>
      <c r="E62" s="2">
        <f t="shared" si="1"/>
        <v>3844.7132000000001</v>
      </c>
      <c r="F62">
        <v>21.91</v>
      </c>
      <c r="G62" s="2">
        <f t="shared" si="2"/>
        <v>3616.9028000000003</v>
      </c>
      <c r="H62">
        <v>28.83</v>
      </c>
      <c r="I62" s="2">
        <f t="shared" si="3"/>
        <v>4759.2563999999993</v>
      </c>
      <c r="J62">
        <v>13.18</v>
      </c>
      <c r="K62" s="2">
        <f t="shared" si="4"/>
        <v>2175.7543999999998</v>
      </c>
      <c r="L62">
        <v>10.14</v>
      </c>
      <c r="M62" s="2">
        <f t="shared" si="5"/>
        <v>1673.9112</v>
      </c>
      <c r="N62">
        <v>1.18</v>
      </c>
      <c r="O62" s="2">
        <f t="shared" si="6"/>
        <v>194.7944</v>
      </c>
      <c r="P62">
        <v>0.98</v>
      </c>
      <c r="Q62" s="2">
        <f t="shared" si="7"/>
        <v>161.7784</v>
      </c>
      <c r="R62">
        <v>0.48</v>
      </c>
      <c r="S62" s="3">
        <f t="shared" si="10"/>
        <v>79.238399999999999</v>
      </c>
      <c r="T62" t="s">
        <v>114</v>
      </c>
      <c r="U62" s="4">
        <f t="shared" si="8"/>
        <v>16506.349199999997</v>
      </c>
      <c r="V62" s="4">
        <f t="shared" si="9"/>
        <v>-1.6508000000030734</v>
      </c>
      <c r="W62" s="3">
        <v>16508</v>
      </c>
      <c r="X62">
        <v>8339</v>
      </c>
      <c r="Y62">
        <v>8169</v>
      </c>
      <c r="Z62">
        <v>548</v>
      </c>
      <c r="AA62">
        <v>2564</v>
      </c>
      <c r="AB62">
        <v>3186</v>
      </c>
      <c r="AC62">
        <v>2757</v>
      </c>
      <c r="AD62">
        <v>2700</v>
      </c>
      <c r="AE62">
        <v>2529</v>
      </c>
      <c r="AF62">
        <v>1440</v>
      </c>
      <c r="AG62">
        <v>659</v>
      </c>
      <c r="AH62">
        <v>125</v>
      </c>
      <c r="AI62" s="5">
        <v>50.514901865761999</v>
      </c>
      <c r="AJ62" s="5">
        <v>49.485098134237901</v>
      </c>
      <c r="AK62" s="5">
        <v>3.3196026169130102</v>
      </c>
      <c r="AL62" s="5">
        <v>15.531863338987201</v>
      </c>
      <c r="AM62" s="5">
        <v>19.299733462563601</v>
      </c>
      <c r="AN62" s="5">
        <v>16.700993457717502</v>
      </c>
      <c r="AO62" s="5">
        <v>16.355706324206398</v>
      </c>
      <c r="AP62" s="5">
        <v>15.319844923673401</v>
      </c>
      <c r="AQ62" s="5">
        <v>8.7230433729100998</v>
      </c>
      <c r="AR62" s="5">
        <v>3.99200387690817</v>
      </c>
      <c r="AS62" s="5">
        <v>0.75720862612066897</v>
      </c>
    </row>
    <row r="63" spans="1:45" x14ac:dyDescent="0.25">
      <c r="A63" t="s">
        <v>187</v>
      </c>
      <c r="B63" t="s">
        <v>188</v>
      </c>
      <c r="C63" t="s">
        <v>113</v>
      </c>
      <c r="D63">
        <v>24.68</v>
      </c>
      <c r="E63" s="2">
        <f t="shared" si="1"/>
        <v>3084.5064000000002</v>
      </c>
      <c r="F63">
        <v>21.72</v>
      </c>
      <c r="G63" s="2">
        <f t="shared" si="2"/>
        <v>2714.5655999999999</v>
      </c>
      <c r="H63">
        <v>28.78</v>
      </c>
      <c r="I63" s="2">
        <f t="shared" si="3"/>
        <v>3596.9243999999999</v>
      </c>
      <c r="J63">
        <v>12.99</v>
      </c>
      <c r="K63" s="2">
        <f t="shared" si="4"/>
        <v>1623.4902</v>
      </c>
      <c r="L63">
        <v>8.9499999999999993</v>
      </c>
      <c r="M63" s="2">
        <f t="shared" si="5"/>
        <v>1118.5709999999999</v>
      </c>
      <c r="N63">
        <v>0.98</v>
      </c>
      <c r="O63" s="2">
        <f t="shared" si="6"/>
        <v>122.48039999999999</v>
      </c>
      <c r="P63">
        <v>1.4</v>
      </c>
      <c r="Q63" s="2">
        <f t="shared" si="7"/>
        <v>174.97199999999998</v>
      </c>
      <c r="R63">
        <v>0.5</v>
      </c>
      <c r="S63" s="3">
        <f t="shared" si="10"/>
        <v>62.49</v>
      </c>
      <c r="T63" t="s">
        <v>114</v>
      </c>
      <c r="U63" s="4">
        <f t="shared" si="8"/>
        <v>12498</v>
      </c>
      <c r="V63" s="4">
        <f t="shared" si="9"/>
        <v>0</v>
      </c>
      <c r="W63" s="3">
        <v>12498</v>
      </c>
      <c r="X63">
        <v>6332</v>
      </c>
      <c r="Y63">
        <v>6166</v>
      </c>
      <c r="Z63">
        <v>432</v>
      </c>
      <c r="AA63">
        <v>2020</v>
      </c>
      <c r="AB63">
        <v>2317</v>
      </c>
      <c r="AC63">
        <v>2179</v>
      </c>
      <c r="AD63">
        <v>2105</v>
      </c>
      <c r="AE63">
        <v>1830</v>
      </c>
      <c r="AF63">
        <v>1037</v>
      </c>
      <c r="AG63">
        <v>494</v>
      </c>
      <c r="AH63">
        <v>84</v>
      </c>
      <c r="AI63" s="5">
        <v>50.664106257001102</v>
      </c>
      <c r="AJ63" s="5">
        <v>49.335893742998898</v>
      </c>
      <c r="AK63" s="5">
        <v>3.45655304848776</v>
      </c>
      <c r="AL63" s="5">
        <v>16.162586013762201</v>
      </c>
      <c r="AM63" s="5">
        <v>18.538966234597499</v>
      </c>
      <c r="AN63" s="5">
        <v>17.434789566330601</v>
      </c>
      <c r="AO63" s="5">
        <v>16.842694831172999</v>
      </c>
      <c r="AP63" s="5">
        <v>14.642342774844</v>
      </c>
      <c r="AQ63" s="5">
        <v>8.2973275724115894</v>
      </c>
      <c r="AR63" s="5">
        <v>3.9526324211873902</v>
      </c>
      <c r="AS63" s="5">
        <v>0.67210753720595295</v>
      </c>
    </row>
    <row r="64" spans="1:45" x14ac:dyDescent="0.25">
      <c r="A64" t="s">
        <v>189</v>
      </c>
      <c r="B64" t="s">
        <v>190</v>
      </c>
      <c r="C64" t="s">
        <v>141</v>
      </c>
      <c r="D64">
        <v>18.62</v>
      </c>
      <c r="E64" s="2">
        <f t="shared" si="1"/>
        <v>2282.2534000000001</v>
      </c>
      <c r="F64">
        <v>30.08</v>
      </c>
      <c r="G64" s="2">
        <f t="shared" si="2"/>
        <v>3686.9056</v>
      </c>
      <c r="H64">
        <v>28.66</v>
      </c>
      <c r="I64" s="2">
        <f t="shared" si="3"/>
        <v>3512.8562000000002</v>
      </c>
      <c r="J64">
        <v>11.37</v>
      </c>
      <c r="K64" s="2">
        <f t="shared" si="4"/>
        <v>1393.6208999999999</v>
      </c>
      <c r="L64">
        <v>8.68</v>
      </c>
      <c r="M64" s="2">
        <f t="shared" si="5"/>
        <v>1063.9076</v>
      </c>
      <c r="N64">
        <v>0.62</v>
      </c>
      <c r="O64" s="2">
        <f t="shared" si="6"/>
        <v>75.993400000000008</v>
      </c>
      <c r="P64">
        <v>1.29</v>
      </c>
      <c r="Q64" s="2">
        <f t="shared" si="7"/>
        <v>158.11530000000002</v>
      </c>
      <c r="R64">
        <v>0.69</v>
      </c>
      <c r="S64" s="3">
        <f t="shared" si="10"/>
        <v>84.573300000000003</v>
      </c>
      <c r="T64" t="s">
        <v>142</v>
      </c>
      <c r="U64" s="4">
        <f t="shared" si="8"/>
        <v>12258.225700000001</v>
      </c>
      <c r="V64" s="4">
        <f t="shared" si="9"/>
        <v>1.2257000000008702</v>
      </c>
      <c r="W64" s="3">
        <v>12257</v>
      </c>
      <c r="X64">
        <v>6134</v>
      </c>
      <c r="Y64">
        <v>6123</v>
      </c>
      <c r="Z64">
        <v>373</v>
      </c>
      <c r="AA64">
        <v>2031</v>
      </c>
      <c r="AB64">
        <v>2211</v>
      </c>
      <c r="AC64">
        <v>2015</v>
      </c>
      <c r="AD64">
        <v>2124</v>
      </c>
      <c r="AE64">
        <v>1761</v>
      </c>
      <c r="AF64">
        <v>1078</v>
      </c>
      <c r="AG64">
        <v>541</v>
      </c>
      <c r="AH64">
        <v>123</v>
      </c>
      <c r="AI64" s="5">
        <v>50.044872317859202</v>
      </c>
      <c r="AJ64" s="5">
        <v>49.955127682140798</v>
      </c>
      <c r="AK64" s="5">
        <v>3.0431590111772899</v>
      </c>
      <c r="AL64" s="5">
        <v>16.570123194909002</v>
      </c>
      <c r="AM64" s="5">
        <v>18.0386717793914</v>
      </c>
      <c r="AN64" s="5">
        <v>16.439585542955001</v>
      </c>
      <c r="AO64" s="5">
        <v>17.328873296891601</v>
      </c>
      <c r="AP64" s="5">
        <v>14.367300318185499</v>
      </c>
      <c r="AQ64" s="5">
        <v>8.7949743003997707</v>
      </c>
      <c r="AR64" s="5">
        <v>4.4138043566941301</v>
      </c>
      <c r="AS64" s="5">
        <v>1.00350819939626</v>
      </c>
    </row>
    <row r="65" spans="1:45" x14ac:dyDescent="0.25">
      <c r="A65" t="s">
        <v>191</v>
      </c>
      <c r="B65" t="s">
        <v>192</v>
      </c>
      <c r="C65" t="s">
        <v>75</v>
      </c>
      <c r="D65">
        <v>26.97</v>
      </c>
      <c r="E65" s="2">
        <f t="shared" si="1"/>
        <v>6656.1959999999999</v>
      </c>
      <c r="F65">
        <v>20.309999999999999</v>
      </c>
      <c r="G65" s="2">
        <f t="shared" si="2"/>
        <v>5012.5079999999998</v>
      </c>
      <c r="H65">
        <v>28.64</v>
      </c>
      <c r="I65" s="2">
        <f t="shared" si="3"/>
        <v>7068.3520000000008</v>
      </c>
      <c r="J65">
        <v>13.63</v>
      </c>
      <c r="K65" s="2">
        <f t="shared" si="4"/>
        <v>3363.884</v>
      </c>
      <c r="L65">
        <v>8</v>
      </c>
      <c r="M65" s="2">
        <f t="shared" si="5"/>
        <v>1974.4</v>
      </c>
      <c r="N65">
        <v>0.83</v>
      </c>
      <c r="O65" s="2">
        <f t="shared" si="6"/>
        <v>204.84399999999997</v>
      </c>
      <c r="P65">
        <v>1.1499999999999999</v>
      </c>
      <c r="Q65" s="2">
        <f t="shared" si="7"/>
        <v>283.81999999999994</v>
      </c>
      <c r="R65">
        <v>0.47</v>
      </c>
      <c r="S65" s="3">
        <f t="shared" si="10"/>
        <v>115.99599999999998</v>
      </c>
      <c r="T65" t="s">
        <v>76</v>
      </c>
      <c r="U65" s="4">
        <f t="shared" si="8"/>
        <v>24680</v>
      </c>
      <c r="V65" s="4">
        <f t="shared" si="9"/>
        <v>0</v>
      </c>
      <c r="W65" s="3">
        <v>24680</v>
      </c>
      <c r="X65">
        <v>12240</v>
      </c>
      <c r="Y65">
        <v>12440</v>
      </c>
      <c r="Z65">
        <v>760</v>
      </c>
      <c r="AA65">
        <v>3827</v>
      </c>
      <c r="AB65">
        <v>4541</v>
      </c>
      <c r="AC65">
        <v>4118</v>
      </c>
      <c r="AD65">
        <v>4270</v>
      </c>
      <c r="AE65">
        <v>3508</v>
      </c>
      <c r="AF65">
        <v>2287</v>
      </c>
      <c r="AG65">
        <v>1126</v>
      </c>
      <c r="AH65">
        <v>243</v>
      </c>
      <c r="AI65" s="5">
        <v>49.594813614262598</v>
      </c>
      <c r="AJ65" s="5">
        <v>50.405186385737402</v>
      </c>
      <c r="AK65" s="5">
        <v>3.0794165316045401</v>
      </c>
      <c r="AL65" s="5">
        <v>15.5064829821718</v>
      </c>
      <c r="AM65" s="5">
        <v>18.399513776337098</v>
      </c>
      <c r="AN65" s="5">
        <v>16.685575364667699</v>
      </c>
      <c r="AO65" s="5">
        <v>17.301458670988701</v>
      </c>
      <c r="AP65" s="5">
        <v>14.2139384116694</v>
      </c>
      <c r="AQ65" s="5">
        <v>9.2666126418152306</v>
      </c>
      <c r="AR65" s="5">
        <v>4.56239870340357</v>
      </c>
      <c r="AS65" s="5">
        <v>0.98460291734197702</v>
      </c>
    </row>
    <row r="66" spans="1:45" x14ac:dyDescent="0.25">
      <c r="A66" t="s">
        <v>193</v>
      </c>
      <c r="B66" t="s">
        <v>194</v>
      </c>
      <c r="C66" t="s">
        <v>81</v>
      </c>
      <c r="D66">
        <v>19.46</v>
      </c>
      <c r="E66" s="2">
        <f t="shared" si="1"/>
        <v>6279.3528000000006</v>
      </c>
      <c r="F66">
        <v>30.59</v>
      </c>
      <c r="G66" s="2">
        <f t="shared" si="2"/>
        <v>9870.7811999999994</v>
      </c>
      <c r="H66">
        <v>28.51</v>
      </c>
      <c r="I66" s="2">
        <f t="shared" si="3"/>
        <v>9199.6068000000014</v>
      </c>
      <c r="J66">
        <v>11.53</v>
      </c>
      <c r="K66" s="2">
        <f t="shared" si="4"/>
        <v>3720.5003999999999</v>
      </c>
      <c r="L66">
        <v>7.63</v>
      </c>
      <c r="M66" s="2">
        <f t="shared" si="5"/>
        <v>2462.0484000000001</v>
      </c>
      <c r="N66">
        <v>0.71</v>
      </c>
      <c r="O66" s="2">
        <f t="shared" si="6"/>
        <v>229.1028</v>
      </c>
      <c r="P66">
        <v>1.05</v>
      </c>
      <c r="Q66" s="2">
        <f t="shared" si="7"/>
        <v>338.81400000000002</v>
      </c>
      <c r="R66">
        <v>0.53</v>
      </c>
      <c r="S66" s="3">
        <f t="shared" ref="S66" si="11">R66*W66/100</f>
        <v>171.0204</v>
      </c>
      <c r="T66" t="s">
        <v>82</v>
      </c>
      <c r="U66" s="4">
        <f t="shared" si="8"/>
        <v>32271.226800000004</v>
      </c>
      <c r="V66" s="4">
        <f t="shared" si="9"/>
        <v>3.2268000000040047</v>
      </c>
      <c r="W66" s="3">
        <v>32268</v>
      </c>
      <c r="X66">
        <v>16340</v>
      </c>
      <c r="Y66">
        <v>15928</v>
      </c>
      <c r="Z66">
        <v>1096</v>
      </c>
      <c r="AA66">
        <v>5295</v>
      </c>
      <c r="AB66">
        <v>6131</v>
      </c>
      <c r="AC66">
        <v>5374</v>
      </c>
      <c r="AD66">
        <v>5790</v>
      </c>
      <c r="AE66">
        <v>4563</v>
      </c>
      <c r="AF66">
        <v>2644</v>
      </c>
      <c r="AG66">
        <v>1151</v>
      </c>
      <c r="AH66">
        <v>224</v>
      </c>
      <c r="AI66" s="5">
        <v>50.638403371761498</v>
      </c>
      <c r="AJ66" s="5">
        <v>49.361596628238502</v>
      </c>
      <c r="AK66" s="5">
        <v>3.3965538614106898</v>
      </c>
      <c r="AL66" s="5">
        <v>16.409445890665701</v>
      </c>
      <c r="AM66" s="5">
        <v>19.000247923639499</v>
      </c>
      <c r="AN66" s="5">
        <v>16.654270484690699</v>
      </c>
      <c r="AO66" s="5">
        <v>17.9434734101897</v>
      </c>
      <c r="AP66" s="5">
        <v>14.140944589066599</v>
      </c>
      <c r="AQ66" s="5">
        <v>8.1938762861038796</v>
      </c>
      <c r="AR66" s="5">
        <v>3.5670013635800202</v>
      </c>
      <c r="AS66" s="5">
        <v>0.69418619065327902</v>
      </c>
    </row>
    <row r="67" spans="1:45" x14ac:dyDescent="0.25">
      <c r="A67" t="s">
        <v>195</v>
      </c>
      <c r="B67" t="s">
        <v>196</v>
      </c>
      <c r="C67" t="s">
        <v>93</v>
      </c>
      <c r="D67">
        <v>26.56</v>
      </c>
      <c r="E67" s="2">
        <f t="shared" ref="E67:E130" si="12">D67*W67/100</f>
        <v>2297.44</v>
      </c>
      <c r="F67">
        <v>25.07</v>
      </c>
      <c r="G67" s="2">
        <f t="shared" ref="G67:G130" si="13">F67*W67/100</f>
        <v>2168.5549999999998</v>
      </c>
      <c r="H67">
        <v>28.41</v>
      </c>
      <c r="I67" s="2">
        <f t="shared" ref="I67:I130" si="14">H67*W67/100</f>
        <v>2457.4650000000001</v>
      </c>
      <c r="J67">
        <v>9.98</v>
      </c>
      <c r="K67" s="2">
        <f t="shared" ref="K67:K130" si="15">J67*W67/100</f>
        <v>863.27</v>
      </c>
      <c r="L67">
        <v>7.42</v>
      </c>
      <c r="M67" s="2">
        <f t="shared" ref="M67:M130" si="16">L67*W67/100</f>
        <v>641.83000000000004</v>
      </c>
      <c r="N67">
        <v>0.94</v>
      </c>
      <c r="O67" s="2">
        <f t="shared" ref="O67:O130" si="17">N67*W67/100</f>
        <v>81.309999999999988</v>
      </c>
      <c r="P67">
        <v>1.17</v>
      </c>
      <c r="Q67" s="2">
        <f t="shared" ref="Q67:Q130" si="18">P67*W67/100</f>
        <v>101.205</v>
      </c>
      <c r="R67">
        <v>0.45</v>
      </c>
      <c r="S67" s="3">
        <f t="shared" ref="S67:S130" si="19">R67*W67/100</f>
        <v>38.924999999999997</v>
      </c>
      <c r="T67" t="s">
        <v>94</v>
      </c>
      <c r="U67" s="4">
        <f t="shared" si="8"/>
        <v>8650</v>
      </c>
      <c r="V67" s="4">
        <f t="shared" si="9"/>
        <v>0</v>
      </c>
      <c r="W67" s="3">
        <v>8650</v>
      </c>
      <c r="X67">
        <v>4287</v>
      </c>
      <c r="Y67">
        <v>4363</v>
      </c>
      <c r="Z67">
        <v>236</v>
      </c>
      <c r="AA67">
        <v>1228</v>
      </c>
      <c r="AB67">
        <v>1270</v>
      </c>
      <c r="AC67">
        <v>1329</v>
      </c>
      <c r="AD67">
        <v>1549</v>
      </c>
      <c r="AE67">
        <v>1221</v>
      </c>
      <c r="AF67">
        <v>1013</v>
      </c>
      <c r="AG67">
        <v>712</v>
      </c>
      <c r="AH67">
        <v>92</v>
      </c>
      <c r="AI67" s="5">
        <v>49.560693641618499</v>
      </c>
      <c r="AJ67" s="5">
        <v>50.439306358381501</v>
      </c>
      <c r="AK67" s="5">
        <v>2.7283236994219702</v>
      </c>
      <c r="AL67" s="5">
        <v>14.1965317919075</v>
      </c>
      <c r="AM67" s="5">
        <v>14.6820809248555</v>
      </c>
      <c r="AN67" s="5">
        <v>15.364161849711</v>
      </c>
      <c r="AO67" s="5">
        <v>17.907514450867101</v>
      </c>
      <c r="AP67" s="5">
        <v>14.115606936416199</v>
      </c>
      <c r="AQ67" s="5">
        <v>11.7109826589595</v>
      </c>
      <c r="AR67" s="5">
        <v>8.2312138728323703</v>
      </c>
      <c r="AS67" s="5">
        <v>1.0635838150289001</v>
      </c>
    </row>
    <row r="68" spans="1:45" x14ac:dyDescent="0.25">
      <c r="A68" t="s">
        <v>197</v>
      </c>
      <c r="B68" t="s">
        <v>198</v>
      </c>
      <c r="C68" t="s">
        <v>199</v>
      </c>
      <c r="D68">
        <v>20.79</v>
      </c>
      <c r="E68" s="2">
        <f t="shared" si="12"/>
        <v>4361.7419999999993</v>
      </c>
      <c r="F68">
        <v>26.8</v>
      </c>
      <c r="G68" s="2">
        <f t="shared" si="13"/>
        <v>5622.64</v>
      </c>
      <c r="H68">
        <v>28.29</v>
      </c>
      <c r="I68" s="2">
        <f t="shared" si="14"/>
        <v>5935.2419999999993</v>
      </c>
      <c r="J68">
        <v>13.32</v>
      </c>
      <c r="K68" s="2">
        <f t="shared" si="15"/>
        <v>2794.5360000000005</v>
      </c>
      <c r="L68">
        <v>8.23</v>
      </c>
      <c r="M68" s="2">
        <f t="shared" si="16"/>
        <v>1726.6540000000002</v>
      </c>
      <c r="N68">
        <v>0.98</v>
      </c>
      <c r="O68" s="2">
        <f t="shared" si="17"/>
        <v>205.60399999999998</v>
      </c>
      <c r="P68">
        <v>1.01</v>
      </c>
      <c r="Q68" s="2">
        <f t="shared" si="18"/>
        <v>211.898</v>
      </c>
      <c r="R68">
        <v>0.57999999999999996</v>
      </c>
      <c r="S68" s="3">
        <f t="shared" si="19"/>
        <v>121.684</v>
      </c>
      <c r="T68" t="s">
        <v>200</v>
      </c>
      <c r="U68" s="4">
        <f t="shared" ref="U68:U131" si="20">SUM(S68,Q68,O68,M68,K68,I68,G68,E68)</f>
        <v>20979.999999999996</v>
      </c>
      <c r="V68" s="4">
        <f t="shared" ref="V68:V131" si="21">U68-W68</f>
        <v>0</v>
      </c>
      <c r="W68" s="3">
        <v>20980</v>
      </c>
      <c r="X68">
        <v>10533</v>
      </c>
      <c r="Y68">
        <v>10447</v>
      </c>
      <c r="Z68">
        <v>769</v>
      </c>
      <c r="AA68">
        <v>3556</v>
      </c>
      <c r="AB68">
        <v>3874</v>
      </c>
      <c r="AC68">
        <v>3389</v>
      </c>
      <c r="AD68">
        <v>3594</v>
      </c>
      <c r="AE68">
        <v>2980</v>
      </c>
      <c r="AF68">
        <v>1793</v>
      </c>
      <c r="AG68">
        <v>871</v>
      </c>
      <c r="AH68">
        <v>154</v>
      </c>
      <c r="AI68" s="5">
        <v>50.204957102001899</v>
      </c>
      <c r="AJ68" s="5">
        <v>49.795042897998101</v>
      </c>
      <c r="AK68" s="5">
        <v>3.66539561487131</v>
      </c>
      <c r="AL68" s="5">
        <v>16.949475691134399</v>
      </c>
      <c r="AM68" s="5">
        <v>18.465204957101999</v>
      </c>
      <c r="AN68" s="5">
        <v>16.153479504289798</v>
      </c>
      <c r="AO68" s="5">
        <v>17.1306005719733</v>
      </c>
      <c r="AP68" s="5">
        <v>14.204003813155399</v>
      </c>
      <c r="AQ68" s="5">
        <v>8.5462345090562408</v>
      </c>
      <c r="AR68" s="5">
        <v>4.15157292659676</v>
      </c>
      <c r="AS68" s="5">
        <v>0.73403241182078205</v>
      </c>
    </row>
    <row r="69" spans="1:45" x14ac:dyDescent="0.25">
      <c r="A69" t="s">
        <v>201</v>
      </c>
      <c r="B69" t="s">
        <v>202</v>
      </c>
      <c r="C69" t="s">
        <v>113</v>
      </c>
      <c r="D69">
        <v>30.61</v>
      </c>
      <c r="E69" s="2">
        <f t="shared" si="12"/>
        <v>5536.7367999999997</v>
      </c>
      <c r="F69">
        <v>19.98</v>
      </c>
      <c r="G69" s="2">
        <f t="shared" si="13"/>
        <v>3613.9823999999999</v>
      </c>
      <c r="H69">
        <v>28.1</v>
      </c>
      <c r="I69" s="2">
        <f t="shared" si="14"/>
        <v>5082.7280000000001</v>
      </c>
      <c r="J69">
        <v>11.47</v>
      </c>
      <c r="K69" s="2">
        <f t="shared" si="15"/>
        <v>2074.6936000000001</v>
      </c>
      <c r="L69">
        <v>7.31</v>
      </c>
      <c r="M69" s="2">
        <f t="shared" si="16"/>
        <v>1322.2328</v>
      </c>
      <c r="N69">
        <v>0.77</v>
      </c>
      <c r="O69" s="2">
        <f t="shared" si="17"/>
        <v>139.27760000000001</v>
      </c>
      <c r="P69">
        <v>1.24</v>
      </c>
      <c r="Q69" s="2">
        <f t="shared" si="18"/>
        <v>224.2912</v>
      </c>
      <c r="R69">
        <v>0.53</v>
      </c>
      <c r="S69" s="3">
        <f t="shared" si="19"/>
        <v>95.866400000000013</v>
      </c>
      <c r="T69" t="s">
        <v>114</v>
      </c>
      <c r="U69" s="4">
        <f t="shared" si="20"/>
        <v>18089.808799999999</v>
      </c>
      <c r="V69" s="4">
        <f t="shared" si="21"/>
        <v>1.8087999999988824</v>
      </c>
      <c r="W69" s="3">
        <v>18088</v>
      </c>
      <c r="X69">
        <v>9037</v>
      </c>
      <c r="Y69">
        <v>9051</v>
      </c>
      <c r="Z69">
        <v>603</v>
      </c>
      <c r="AA69">
        <v>2976</v>
      </c>
      <c r="AB69">
        <v>3353</v>
      </c>
      <c r="AC69">
        <v>2985</v>
      </c>
      <c r="AD69">
        <v>2989</v>
      </c>
      <c r="AE69">
        <v>2690</v>
      </c>
      <c r="AF69">
        <v>1611</v>
      </c>
      <c r="AG69">
        <v>744</v>
      </c>
      <c r="AH69">
        <v>137</v>
      </c>
      <c r="AI69" s="5">
        <v>49.961300309597497</v>
      </c>
      <c r="AJ69" s="5">
        <v>50.038699690402503</v>
      </c>
      <c r="AK69" s="5">
        <v>3.33370190181336</v>
      </c>
      <c r="AL69" s="5">
        <v>16.452896948252999</v>
      </c>
      <c r="AM69" s="5">
        <v>18.537151702786399</v>
      </c>
      <c r="AN69" s="5">
        <v>16.5026536930562</v>
      </c>
      <c r="AO69" s="5">
        <v>16.5247678018576</v>
      </c>
      <c r="AP69" s="5">
        <v>14.871738168951801</v>
      </c>
      <c r="AQ69" s="5">
        <v>8.9064573197700092</v>
      </c>
      <c r="AR69" s="5">
        <v>4.1132242370632497</v>
      </c>
      <c r="AS69" s="5">
        <v>0.75740822644847405</v>
      </c>
    </row>
    <row r="70" spans="1:45" x14ac:dyDescent="0.25">
      <c r="A70" t="s">
        <v>203</v>
      </c>
      <c r="B70" t="s">
        <v>204</v>
      </c>
      <c r="C70" t="s">
        <v>81</v>
      </c>
      <c r="D70">
        <v>14.49</v>
      </c>
      <c r="E70" s="2">
        <f t="shared" si="12"/>
        <v>1387.4175</v>
      </c>
      <c r="F70">
        <v>33.86</v>
      </c>
      <c r="G70" s="2">
        <f t="shared" si="13"/>
        <v>3242.0949999999998</v>
      </c>
      <c r="H70">
        <v>27.8</v>
      </c>
      <c r="I70" s="2">
        <f t="shared" si="14"/>
        <v>2661.85</v>
      </c>
      <c r="J70">
        <v>14.8</v>
      </c>
      <c r="K70" s="2">
        <f t="shared" si="15"/>
        <v>1417.1</v>
      </c>
      <c r="L70">
        <v>7.07</v>
      </c>
      <c r="M70" s="2">
        <f t="shared" si="16"/>
        <v>676.95249999999999</v>
      </c>
      <c r="N70">
        <v>0.53</v>
      </c>
      <c r="O70" s="2">
        <f t="shared" si="17"/>
        <v>50.747500000000002</v>
      </c>
      <c r="P70">
        <v>1.1000000000000001</v>
      </c>
      <c r="Q70" s="2">
        <f t="shared" si="18"/>
        <v>105.325</v>
      </c>
      <c r="R70">
        <v>0.35</v>
      </c>
      <c r="S70" s="3">
        <f t="shared" si="19"/>
        <v>33.512500000000003</v>
      </c>
      <c r="T70" t="s">
        <v>82</v>
      </c>
      <c r="U70" s="4">
        <f t="shared" si="20"/>
        <v>9574.9999999999982</v>
      </c>
      <c r="V70" s="4">
        <f t="shared" si="21"/>
        <v>0</v>
      </c>
      <c r="W70" s="3">
        <v>9575</v>
      </c>
      <c r="X70">
        <v>4691</v>
      </c>
      <c r="Y70">
        <v>4884</v>
      </c>
      <c r="Z70">
        <v>285</v>
      </c>
      <c r="AA70">
        <v>1291</v>
      </c>
      <c r="AB70">
        <v>1586</v>
      </c>
      <c r="AC70">
        <v>1366</v>
      </c>
      <c r="AD70">
        <v>1904</v>
      </c>
      <c r="AE70">
        <v>1493</v>
      </c>
      <c r="AF70">
        <v>996</v>
      </c>
      <c r="AG70">
        <v>545</v>
      </c>
      <c r="AH70">
        <v>109</v>
      </c>
      <c r="AI70" s="5">
        <v>48.992167101827697</v>
      </c>
      <c r="AJ70" s="5">
        <v>51.007832898172303</v>
      </c>
      <c r="AK70" s="5">
        <v>2.9765013054830298</v>
      </c>
      <c r="AL70" s="5">
        <v>13.483028720626599</v>
      </c>
      <c r="AM70" s="5">
        <v>16.563968668407298</v>
      </c>
      <c r="AN70" s="5">
        <v>14.266318537859</v>
      </c>
      <c r="AO70" s="5">
        <v>19.885117493472599</v>
      </c>
      <c r="AP70" s="5">
        <v>15.5926892950392</v>
      </c>
      <c r="AQ70" s="5">
        <v>10.402088772846</v>
      </c>
      <c r="AR70" s="5">
        <v>5.6919060052219299</v>
      </c>
      <c r="AS70" s="5">
        <v>1.1383812010443899</v>
      </c>
    </row>
    <row r="71" spans="1:45" x14ac:dyDescent="0.25">
      <c r="A71" t="s">
        <v>205</v>
      </c>
      <c r="B71" t="s">
        <v>206</v>
      </c>
      <c r="C71" t="s">
        <v>207</v>
      </c>
      <c r="D71">
        <v>21.7</v>
      </c>
      <c r="E71" s="2">
        <f t="shared" si="12"/>
        <v>3777.3189999999995</v>
      </c>
      <c r="F71">
        <v>26.02</v>
      </c>
      <c r="G71" s="2">
        <f t="shared" si="13"/>
        <v>4529.3014000000003</v>
      </c>
      <c r="H71">
        <v>27.68</v>
      </c>
      <c r="I71" s="2">
        <f t="shared" si="14"/>
        <v>4818.2575999999999</v>
      </c>
      <c r="J71">
        <v>14.22</v>
      </c>
      <c r="K71" s="2">
        <f t="shared" si="15"/>
        <v>2475.2754</v>
      </c>
      <c r="L71">
        <v>8.2200000000000006</v>
      </c>
      <c r="M71" s="2">
        <f t="shared" si="16"/>
        <v>1430.8554000000001</v>
      </c>
      <c r="N71">
        <v>0.65</v>
      </c>
      <c r="O71" s="2">
        <f t="shared" si="17"/>
        <v>113.14550000000001</v>
      </c>
      <c r="P71">
        <v>1.05</v>
      </c>
      <c r="Q71" s="2">
        <f t="shared" si="18"/>
        <v>182.77350000000001</v>
      </c>
      <c r="R71">
        <v>0.47</v>
      </c>
      <c r="S71" s="3">
        <f t="shared" si="19"/>
        <v>81.812899999999999</v>
      </c>
      <c r="T71" t="s">
        <v>208</v>
      </c>
      <c r="U71" s="4">
        <f t="shared" si="20"/>
        <v>17408.740699999998</v>
      </c>
      <c r="V71" s="4">
        <f t="shared" si="21"/>
        <v>1.7406999999984691</v>
      </c>
      <c r="W71" s="3">
        <v>17407</v>
      </c>
      <c r="X71">
        <v>8783</v>
      </c>
      <c r="Y71">
        <v>8624</v>
      </c>
      <c r="Z71">
        <v>522</v>
      </c>
      <c r="AA71">
        <v>2524</v>
      </c>
      <c r="AB71">
        <v>3016</v>
      </c>
      <c r="AC71">
        <v>2576</v>
      </c>
      <c r="AD71">
        <v>3320</v>
      </c>
      <c r="AE71">
        <v>2798</v>
      </c>
      <c r="AF71">
        <v>1649</v>
      </c>
      <c r="AG71">
        <v>828</v>
      </c>
      <c r="AH71">
        <v>174</v>
      </c>
      <c r="AI71" s="5">
        <v>50.456712816682902</v>
      </c>
      <c r="AJ71" s="5">
        <v>49.543287183317098</v>
      </c>
      <c r="AK71" s="5">
        <v>2.9987935887861199</v>
      </c>
      <c r="AL71" s="5">
        <v>14.499913827770399</v>
      </c>
      <c r="AM71" s="5">
        <v>17.326362957430899</v>
      </c>
      <c r="AN71" s="5">
        <v>14.7986442235882</v>
      </c>
      <c r="AO71" s="5">
        <v>19.072786809904098</v>
      </c>
      <c r="AP71" s="5">
        <v>16.073993221117899</v>
      </c>
      <c r="AQ71" s="5">
        <v>9.4732004366059606</v>
      </c>
      <c r="AR71" s="5">
        <v>4.7567070718676403</v>
      </c>
      <c r="AS71" s="5">
        <v>0.999597862928707</v>
      </c>
    </row>
    <row r="72" spans="1:45" x14ac:dyDescent="0.25">
      <c r="A72" t="s">
        <v>209</v>
      </c>
      <c r="B72" t="s">
        <v>210</v>
      </c>
      <c r="C72" t="s">
        <v>55</v>
      </c>
      <c r="D72">
        <v>22.97</v>
      </c>
      <c r="E72" s="2">
        <f t="shared" si="12"/>
        <v>43316.136899999998</v>
      </c>
      <c r="F72">
        <v>21.79</v>
      </c>
      <c r="G72" s="2">
        <f t="shared" si="13"/>
        <v>41090.9283</v>
      </c>
      <c r="H72">
        <v>27.64</v>
      </c>
      <c r="I72" s="2">
        <f t="shared" si="14"/>
        <v>52122.682800000002</v>
      </c>
      <c r="J72">
        <v>18.170000000000002</v>
      </c>
      <c r="K72" s="2">
        <f t="shared" si="15"/>
        <v>34264.440900000001</v>
      </c>
      <c r="L72">
        <v>6.73</v>
      </c>
      <c r="M72" s="2">
        <f t="shared" si="16"/>
        <v>12691.232100000001</v>
      </c>
      <c r="N72">
        <v>0.97</v>
      </c>
      <c r="O72" s="2">
        <f t="shared" si="17"/>
        <v>1829.1968999999999</v>
      </c>
      <c r="P72">
        <v>1.1499999999999999</v>
      </c>
      <c r="Q72" s="2">
        <f t="shared" si="18"/>
        <v>2168.6354999999999</v>
      </c>
      <c r="R72">
        <v>0.59</v>
      </c>
      <c r="S72" s="3">
        <f t="shared" si="19"/>
        <v>1112.6043</v>
      </c>
      <c r="T72" t="s">
        <v>56</v>
      </c>
      <c r="U72" s="4">
        <f t="shared" si="20"/>
        <v>188595.85769999999</v>
      </c>
      <c r="V72" s="4">
        <f t="shared" si="21"/>
        <v>18.857699999993201</v>
      </c>
      <c r="W72" s="3">
        <v>188577</v>
      </c>
      <c r="X72">
        <v>95039</v>
      </c>
      <c r="Y72">
        <v>93538</v>
      </c>
      <c r="Z72">
        <v>6238</v>
      </c>
      <c r="AA72">
        <v>31930</v>
      </c>
      <c r="AB72">
        <v>36837</v>
      </c>
      <c r="AC72">
        <v>33431</v>
      </c>
      <c r="AD72">
        <v>31687</v>
      </c>
      <c r="AE72">
        <v>24469</v>
      </c>
      <c r="AF72">
        <v>15717</v>
      </c>
      <c r="AG72">
        <v>6956</v>
      </c>
      <c r="AH72">
        <v>1312</v>
      </c>
      <c r="AI72" s="5">
        <v>50.397980665722798</v>
      </c>
      <c r="AJ72" s="5">
        <v>49.602019334277202</v>
      </c>
      <c r="AK72" s="5">
        <v>3.30793256865896</v>
      </c>
      <c r="AL72" s="5">
        <v>16.932075491709</v>
      </c>
      <c r="AM72" s="5">
        <v>19.534195580585099</v>
      </c>
      <c r="AN72" s="5">
        <v>17.7280368231545</v>
      </c>
      <c r="AO72" s="5">
        <v>16.803215662567499</v>
      </c>
      <c r="AP72" s="5">
        <v>12.975601478441201</v>
      </c>
      <c r="AQ72" s="5">
        <v>8.3345264798994592</v>
      </c>
      <c r="AR72" s="5">
        <v>3.6886788950932501</v>
      </c>
      <c r="AS72" s="5">
        <v>0.69573701989107894</v>
      </c>
    </row>
    <row r="73" spans="1:45" x14ac:dyDescent="0.25">
      <c r="A73" t="s">
        <v>211</v>
      </c>
      <c r="B73" t="s">
        <v>212</v>
      </c>
      <c r="C73" t="s">
        <v>75</v>
      </c>
      <c r="D73">
        <v>28.91</v>
      </c>
      <c r="E73" s="2">
        <f t="shared" si="12"/>
        <v>3566.9158000000002</v>
      </c>
      <c r="F73">
        <v>18.88</v>
      </c>
      <c r="G73" s="2">
        <f t="shared" si="13"/>
        <v>2329.4143999999997</v>
      </c>
      <c r="H73">
        <v>27.42</v>
      </c>
      <c r="I73" s="2">
        <f t="shared" si="14"/>
        <v>3383.0796</v>
      </c>
      <c r="J73">
        <v>12.97</v>
      </c>
      <c r="K73" s="2">
        <f t="shared" si="15"/>
        <v>1600.2386000000001</v>
      </c>
      <c r="L73">
        <v>9.35</v>
      </c>
      <c r="M73" s="2">
        <f t="shared" si="16"/>
        <v>1153.6029999999998</v>
      </c>
      <c r="N73">
        <v>0.72</v>
      </c>
      <c r="O73" s="2">
        <f t="shared" si="17"/>
        <v>88.83359999999999</v>
      </c>
      <c r="P73">
        <v>1.32</v>
      </c>
      <c r="Q73" s="2">
        <f t="shared" si="18"/>
        <v>162.86160000000001</v>
      </c>
      <c r="R73">
        <v>0.44</v>
      </c>
      <c r="S73" s="3">
        <f t="shared" si="19"/>
        <v>54.287200000000006</v>
      </c>
      <c r="T73" t="s">
        <v>76</v>
      </c>
      <c r="U73" s="4">
        <f t="shared" si="20"/>
        <v>12339.2338</v>
      </c>
      <c r="V73" s="4">
        <f t="shared" si="21"/>
        <v>1.2337999999999738</v>
      </c>
      <c r="W73" s="3">
        <v>12338</v>
      </c>
      <c r="X73">
        <v>6152</v>
      </c>
      <c r="Y73">
        <v>6186</v>
      </c>
      <c r="Z73">
        <v>381</v>
      </c>
      <c r="AA73">
        <v>1564</v>
      </c>
      <c r="AB73">
        <v>1816</v>
      </c>
      <c r="AC73">
        <v>1892</v>
      </c>
      <c r="AD73">
        <v>2296</v>
      </c>
      <c r="AE73">
        <v>1979</v>
      </c>
      <c r="AF73">
        <v>1443</v>
      </c>
      <c r="AG73">
        <v>783</v>
      </c>
      <c r="AH73">
        <v>184</v>
      </c>
      <c r="AI73" s="5">
        <v>49.862214297292901</v>
      </c>
      <c r="AJ73" s="5">
        <v>50.137785702707099</v>
      </c>
      <c r="AK73" s="5">
        <v>3.0880207489058198</v>
      </c>
      <c r="AL73" s="5">
        <v>12.6762846490517</v>
      </c>
      <c r="AM73" s="5">
        <v>14.7187550656508</v>
      </c>
      <c r="AN73" s="5">
        <v>15.3347382071649</v>
      </c>
      <c r="AO73" s="5">
        <v>18.609174906791999</v>
      </c>
      <c r="AP73" s="5">
        <v>16.039876803371701</v>
      </c>
      <c r="AQ73" s="5">
        <v>11.6955746474307</v>
      </c>
      <c r="AR73" s="5">
        <v>6.3462473658615703</v>
      </c>
      <c r="AS73" s="5">
        <v>1.49132760577079</v>
      </c>
    </row>
    <row r="74" spans="1:45" x14ac:dyDescent="0.25">
      <c r="A74" t="s">
        <v>213</v>
      </c>
      <c r="B74" t="s">
        <v>214</v>
      </c>
      <c r="C74" t="s">
        <v>75</v>
      </c>
      <c r="D74">
        <v>34.47</v>
      </c>
      <c r="E74" s="2">
        <f t="shared" si="12"/>
        <v>3261.2066999999997</v>
      </c>
      <c r="F74">
        <v>19.82</v>
      </c>
      <c r="G74" s="2">
        <f t="shared" si="13"/>
        <v>1875.1701999999998</v>
      </c>
      <c r="H74">
        <v>27.39</v>
      </c>
      <c r="I74" s="2">
        <f t="shared" si="14"/>
        <v>2591.3679000000002</v>
      </c>
      <c r="J74">
        <v>9.0500000000000007</v>
      </c>
      <c r="K74" s="2">
        <f t="shared" si="15"/>
        <v>856.22050000000002</v>
      </c>
      <c r="L74">
        <v>6.34</v>
      </c>
      <c r="M74" s="2">
        <f t="shared" si="16"/>
        <v>599.82740000000001</v>
      </c>
      <c r="N74">
        <v>0.95</v>
      </c>
      <c r="O74" s="2">
        <f t="shared" si="17"/>
        <v>89.879499999999993</v>
      </c>
      <c r="P74">
        <v>1.35</v>
      </c>
      <c r="Q74" s="2">
        <f t="shared" si="18"/>
        <v>127.7235</v>
      </c>
      <c r="R74">
        <v>0.64</v>
      </c>
      <c r="S74" s="3">
        <f t="shared" si="19"/>
        <v>60.550399999999996</v>
      </c>
      <c r="T74" t="s">
        <v>76</v>
      </c>
      <c r="U74" s="4">
        <f t="shared" si="20"/>
        <v>9461.9460999999992</v>
      </c>
      <c r="V74" s="4">
        <f t="shared" si="21"/>
        <v>0.94609999999920547</v>
      </c>
      <c r="W74" s="3">
        <v>9461</v>
      </c>
      <c r="X74">
        <v>4705</v>
      </c>
      <c r="Y74">
        <v>4756</v>
      </c>
      <c r="Z74">
        <v>241</v>
      </c>
      <c r="AA74">
        <v>1229</v>
      </c>
      <c r="AB74">
        <v>1453</v>
      </c>
      <c r="AC74">
        <v>1369</v>
      </c>
      <c r="AD74">
        <v>1691</v>
      </c>
      <c r="AE74">
        <v>1616</v>
      </c>
      <c r="AF74">
        <v>1089</v>
      </c>
      <c r="AG74">
        <v>593</v>
      </c>
      <c r="AH74">
        <v>180</v>
      </c>
      <c r="AI74" s="5">
        <v>49.730472465912698</v>
      </c>
      <c r="AJ74" s="5">
        <v>50.269527534087302</v>
      </c>
      <c r="AK74" s="5">
        <v>2.5472994398055202</v>
      </c>
      <c r="AL74" s="5">
        <v>12.9901701722862</v>
      </c>
      <c r="AM74" s="5">
        <v>15.357784589366901</v>
      </c>
      <c r="AN74" s="5">
        <v>14.4699291829616</v>
      </c>
      <c r="AO74" s="5">
        <v>17.8733749075151</v>
      </c>
      <c r="AP74" s="5">
        <v>17.0806468660818</v>
      </c>
      <c r="AQ74" s="5">
        <v>11.510411161610801</v>
      </c>
      <c r="AR74" s="5">
        <v>6.2678363809322502</v>
      </c>
      <c r="AS74" s="5">
        <v>1.90254729943981</v>
      </c>
    </row>
    <row r="75" spans="1:45" x14ac:dyDescent="0.25">
      <c r="A75" t="s">
        <v>215</v>
      </c>
      <c r="B75" t="s">
        <v>216</v>
      </c>
      <c r="C75" t="s">
        <v>217</v>
      </c>
      <c r="D75">
        <v>20.07</v>
      </c>
      <c r="E75" s="2">
        <f t="shared" si="12"/>
        <v>6420.5937000000004</v>
      </c>
      <c r="F75">
        <v>26.62</v>
      </c>
      <c r="G75" s="2">
        <f t="shared" si="13"/>
        <v>8516.0042000000012</v>
      </c>
      <c r="H75">
        <v>27.27</v>
      </c>
      <c r="I75" s="2">
        <f t="shared" si="14"/>
        <v>8723.9457000000002</v>
      </c>
      <c r="J75">
        <v>14.13</v>
      </c>
      <c r="K75" s="2">
        <f t="shared" si="15"/>
        <v>4520.3283000000001</v>
      </c>
      <c r="L75">
        <v>9.2100000000000009</v>
      </c>
      <c r="M75" s="2">
        <f t="shared" si="16"/>
        <v>2946.3711000000003</v>
      </c>
      <c r="N75">
        <v>1</v>
      </c>
      <c r="O75" s="2">
        <f t="shared" si="17"/>
        <v>319.91000000000003</v>
      </c>
      <c r="P75">
        <v>1.19</v>
      </c>
      <c r="Q75" s="2">
        <f t="shared" si="18"/>
        <v>380.69290000000001</v>
      </c>
      <c r="R75">
        <v>0.52</v>
      </c>
      <c r="S75" s="3">
        <f t="shared" si="19"/>
        <v>166.35319999999999</v>
      </c>
      <c r="T75" t="s">
        <v>218</v>
      </c>
      <c r="U75" s="4">
        <f t="shared" si="20"/>
        <v>31994.199100000002</v>
      </c>
      <c r="V75" s="4">
        <f t="shared" si="21"/>
        <v>3.1991000000016356</v>
      </c>
      <c r="W75" s="3">
        <v>31991</v>
      </c>
      <c r="X75">
        <v>15947</v>
      </c>
      <c r="Y75">
        <v>16044</v>
      </c>
      <c r="Z75">
        <v>984</v>
      </c>
      <c r="AA75">
        <v>5079</v>
      </c>
      <c r="AB75">
        <v>5927</v>
      </c>
      <c r="AC75">
        <v>5142</v>
      </c>
      <c r="AD75">
        <v>5588</v>
      </c>
      <c r="AE75">
        <v>5092</v>
      </c>
      <c r="AF75">
        <v>2785</v>
      </c>
      <c r="AG75">
        <v>1211</v>
      </c>
      <c r="AH75">
        <v>183</v>
      </c>
      <c r="AI75" s="5">
        <v>49.8483948610547</v>
      </c>
      <c r="AJ75" s="5">
        <v>50.1516051389453</v>
      </c>
      <c r="AK75" s="5">
        <v>3.07586508705573</v>
      </c>
      <c r="AL75" s="5">
        <v>15.8763402206871</v>
      </c>
      <c r="AM75" s="5">
        <v>18.5270857428652</v>
      </c>
      <c r="AN75" s="5">
        <v>16.0732706073583</v>
      </c>
      <c r="AO75" s="5">
        <v>17.4674127098246</v>
      </c>
      <c r="AP75" s="5">
        <v>15.916976649682701</v>
      </c>
      <c r="AQ75" s="5">
        <v>8.7055734425307101</v>
      </c>
      <c r="AR75" s="5">
        <v>3.7854396549029401</v>
      </c>
      <c r="AS75" s="5">
        <v>0.57203588509268199</v>
      </c>
    </row>
    <row r="76" spans="1:45" x14ac:dyDescent="0.25">
      <c r="A76" t="s">
        <v>219</v>
      </c>
      <c r="B76" t="s">
        <v>220</v>
      </c>
      <c r="C76" t="s">
        <v>93</v>
      </c>
      <c r="D76">
        <v>25.5</v>
      </c>
      <c r="E76" s="2">
        <f t="shared" si="12"/>
        <v>2337.33</v>
      </c>
      <c r="F76">
        <v>23.26</v>
      </c>
      <c r="G76" s="2">
        <f t="shared" si="13"/>
        <v>2132.0115999999998</v>
      </c>
      <c r="H76">
        <v>27.18</v>
      </c>
      <c r="I76" s="2">
        <f t="shared" si="14"/>
        <v>2491.3188</v>
      </c>
      <c r="J76">
        <v>15.31</v>
      </c>
      <c r="K76" s="2">
        <f t="shared" si="15"/>
        <v>1403.3145999999999</v>
      </c>
      <c r="L76">
        <v>6.72</v>
      </c>
      <c r="M76" s="2">
        <f t="shared" si="16"/>
        <v>615.95519999999999</v>
      </c>
      <c r="N76">
        <v>0.55000000000000004</v>
      </c>
      <c r="O76" s="2">
        <f t="shared" si="17"/>
        <v>50.413000000000004</v>
      </c>
      <c r="P76">
        <v>0.96</v>
      </c>
      <c r="Q76" s="2">
        <f t="shared" si="18"/>
        <v>87.993600000000001</v>
      </c>
      <c r="R76">
        <v>0.52</v>
      </c>
      <c r="S76" s="3">
        <f t="shared" si="19"/>
        <v>47.663199999999996</v>
      </c>
      <c r="T76" t="s">
        <v>94</v>
      </c>
      <c r="U76" s="4">
        <f t="shared" si="20"/>
        <v>9166</v>
      </c>
      <c r="V76" s="4">
        <f t="shared" si="21"/>
        <v>0</v>
      </c>
      <c r="W76" s="3">
        <v>9166</v>
      </c>
      <c r="X76">
        <v>4426</v>
      </c>
      <c r="Y76">
        <v>4740</v>
      </c>
      <c r="Z76">
        <v>246</v>
      </c>
      <c r="AA76">
        <v>1342</v>
      </c>
      <c r="AB76">
        <v>1566</v>
      </c>
      <c r="AC76">
        <v>1344</v>
      </c>
      <c r="AD76">
        <v>1746</v>
      </c>
      <c r="AE76">
        <v>1535</v>
      </c>
      <c r="AF76">
        <v>885</v>
      </c>
      <c r="AG76">
        <v>429</v>
      </c>
      <c r="AH76">
        <v>73</v>
      </c>
      <c r="AI76" s="5">
        <v>48.287148156229499</v>
      </c>
      <c r="AJ76" s="5">
        <v>51.712851843770501</v>
      </c>
      <c r="AK76" s="5">
        <v>2.68383155138556</v>
      </c>
      <c r="AL76" s="5">
        <v>14.6410648047131</v>
      </c>
      <c r="AM76" s="5">
        <v>17.084878900283702</v>
      </c>
      <c r="AN76" s="5">
        <v>14.662884573423501</v>
      </c>
      <c r="AO76" s="5">
        <v>19.0486580842243</v>
      </c>
      <c r="AP76" s="5">
        <v>16.746672485271699</v>
      </c>
      <c r="AQ76" s="5">
        <v>9.6552476543748593</v>
      </c>
      <c r="AR76" s="5">
        <v>4.6803403883918797</v>
      </c>
      <c r="AS76" s="5">
        <v>0.79642155793148595</v>
      </c>
    </row>
    <row r="77" spans="1:45" x14ac:dyDescent="0.25">
      <c r="A77" t="s">
        <v>221</v>
      </c>
      <c r="B77" t="s">
        <v>222</v>
      </c>
      <c r="C77" t="s">
        <v>113</v>
      </c>
      <c r="D77">
        <v>30.72</v>
      </c>
      <c r="E77" s="2">
        <f t="shared" si="12"/>
        <v>0</v>
      </c>
      <c r="F77">
        <v>19.18</v>
      </c>
      <c r="G77" s="2">
        <f t="shared" si="13"/>
        <v>0</v>
      </c>
      <c r="H77">
        <v>27.16</v>
      </c>
      <c r="I77" s="2">
        <f t="shared" si="14"/>
        <v>0</v>
      </c>
      <c r="J77">
        <v>12.47</v>
      </c>
      <c r="K77" s="2">
        <f t="shared" si="15"/>
        <v>0</v>
      </c>
      <c r="L77">
        <v>7.62</v>
      </c>
      <c r="M77" s="2">
        <f t="shared" si="16"/>
        <v>0</v>
      </c>
      <c r="N77">
        <v>1.01</v>
      </c>
      <c r="O77" s="2">
        <f t="shared" si="17"/>
        <v>0</v>
      </c>
      <c r="P77">
        <v>1.3</v>
      </c>
      <c r="Q77" s="2">
        <f t="shared" si="18"/>
        <v>0</v>
      </c>
      <c r="R77">
        <v>0.53</v>
      </c>
      <c r="S77" s="3">
        <f t="shared" si="19"/>
        <v>0</v>
      </c>
      <c r="U77" s="4">
        <f t="shared" si="20"/>
        <v>0</v>
      </c>
      <c r="V77" s="4">
        <f t="shared" si="21"/>
        <v>0</v>
      </c>
      <c r="AI77" s="5" t="e">
        <v>#DIV/0!</v>
      </c>
      <c r="AJ77" s="5" t="e">
        <v>#DIV/0!</v>
      </c>
      <c r="AK77" s="5" t="e">
        <v>#DIV/0!</v>
      </c>
      <c r="AL77" s="5" t="e">
        <v>#DIV/0!</v>
      </c>
      <c r="AM77" s="5" t="e">
        <v>#DIV/0!</v>
      </c>
      <c r="AN77" s="5" t="e">
        <v>#DIV/0!</v>
      </c>
      <c r="AO77" s="5" t="e">
        <v>#DIV/0!</v>
      </c>
      <c r="AP77" s="5" t="e">
        <v>#DIV/0!</v>
      </c>
      <c r="AQ77" s="5" t="e">
        <v>#DIV/0!</v>
      </c>
      <c r="AR77" s="5" t="e">
        <v>#DIV/0!</v>
      </c>
      <c r="AS77" s="5" t="e">
        <v>#DIV/0!</v>
      </c>
    </row>
    <row r="78" spans="1:45" x14ac:dyDescent="0.25">
      <c r="A78" t="s">
        <v>223</v>
      </c>
      <c r="B78" t="s">
        <v>224</v>
      </c>
      <c r="C78" t="s">
        <v>217</v>
      </c>
      <c r="D78">
        <v>23.29</v>
      </c>
      <c r="E78" s="2">
        <f t="shared" si="12"/>
        <v>2848.1340999999998</v>
      </c>
      <c r="F78">
        <v>24.49</v>
      </c>
      <c r="G78" s="2">
        <f t="shared" si="13"/>
        <v>2994.8820999999998</v>
      </c>
      <c r="H78">
        <v>27.12</v>
      </c>
      <c r="I78" s="2">
        <f t="shared" si="14"/>
        <v>3316.5048000000006</v>
      </c>
      <c r="J78">
        <v>12.96</v>
      </c>
      <c r="K78" s="2">
        <f t="shared" si="15"/>
        <v>1584.8784000000001</v>
      </c>
      <c r="L78">
        <v>9.1999999999999993</v>
      </c>
      <c r="M78" s="2">
        <f t="shared" si="16"/>
        <v>1125.068</v>
      </c>
      <c r="N78">
        <v>0.94</v>
      </c>
      <c r="O78" s="2">
        <f t="shared" si="17"/>
        <v>114.9526</v>
      </c>
      <c r="P78">
        <v>1.54</v>
      </c>
      <c r="Q78" s="2">
        <f t="shared" si="18"/>
        <v>188.32659999999998</v>
      </c>
      <c r="R78">
        <v>0.46</v>
      </c>
      <c r="S78" s="3">
        <f t="shared" si="19"/>
        <v>56.253399999999999</v>
      </c>
      <c r="T78" t="s">
        <v>218</v>
      </c>
      <c r="U78" s="4">
        <f t="shared" si="20"/>
        <v>12229</v>
      </c>
      <c r="V78" s="4">
        <f t="shared" si="21"/>
        <v>0</v>
      </c>
      <c r="W78">
        <v>12229</v>
      </c>
      <c r="X78">
        <v>6151</v>
      </c>
      <c r="Y78">
        <v>6078</v>
      </c>
      <c r="Z78">
        <v>396</v>
      </c>
      <c r="AA78">
        <v>1975</v>
      </c>
      <c r="AB78">
        <v>2292</v>
      </c>
      <c r="AC78">
        <v>2093</v>
      </c>
      <c r="AD78">
        <v>2027</v>
      </c>
      <c r="AE78">
        <v>1952</v>
      </c>
      <c r="AF78">
        <v>1050</v>
      </c>
      <c r="AG78">
        <v>383</v>
      </c>
      <c r="AH78">
        <v>61</v>
      </c>
      <c r="AI78" s="5">
        <v>50.298470847984298</v>
      </c>
      <c r="AJ78" s="5">
        <v>49.701529152015702</v>
      </c>
      <c r="AK78" s="5">
        <v>3.2382042685419901</v>
      </c>
      <c r="AL78" s="5">
        <v>16.150134925177898</v>
      </c>
      <c r="AM78" s="5">
        <v>18.7423337967127</v>
      </c>
      <c r="AN78" s="5">
        <v>17.115054378935302</v>
      </c>
      <c r="AO78" s="5">
        <v>16.575353667511699</v>
      </c>
      <c r="AP78" s="5">
        <v>15.962057404530199</v>
      </c>
      <c r="AQ78" s="5">
        <v>8.5861476817401297</v>
      </c>
      <c r="AR78" s="5">
        <v>3.1318995829585399</v>
      </c>
      <c r="AS78" s="5">
        <v>0.49881429389156901</v>
      </c>
    </row>
    <row r="79" spans="1:45" x14ac:dyDescent="0.25">
      <c r="A79" t="s">
        <v>225</v>
      </c>
      <c r="B79" t="s">
        <v>226</v>
      </c>
      <c r="C79" t="s">
        <v>147</v>
      </c>
      <c r="D79">
        <v>16.239999999999998</v>
      </c>
      <c r="E79" s="2">
        <f t="shared" si="12"/>
        <v>2790.5191999999997</v>
      </c>
      <c r="F79">
        <v>33.75</v>
      </c>
      <c r="G79" s="2">
        <f t="shared" si="13"/>
        <v>5799.2624999999998</v>
      </c>
      <c r="H79">
        <v>27.04</v>
      </c>
      <c r="I79" s="2">
        <f t="shared" si="14"/>
        <v>4646.2831999999999</v>
      </c>
      <c r="J79">
        <v>14.35</v>
      </c>
      <c r="K79" s="2">
        <f t="shared" si="15"/>
        <v>2465.7604999999999</v>
      </c>
      <c r="L79">
        <v>6.51</v>
      </c>
      <c r="M79" s="2">
        <f t="shared" si="16"/>
        <v>1118.6133</v>
      </c>
      <c r="N79">
        <v>0.45</v>
      </c>
      <c r="O79" s="2">
        <f t="shared" si="17"/>
        <v>77.32350000000001</v>
      </c>
      <c r="P79">
        <v>1.23</v>
      </c>
      <c r="Q79" s="2">
        <f t="shared" si="18"/>
        <v>211.3509</v>
      </c>
      <c r="R79">
        <v>0.42</v>
      </c>
      <c r="S79" s="3">
        <f t="shared" si="19"/>
        <v>72.168599999999998</v>
      </c>
      <c r="T79" t="s">
        <v>148</v>
      </c>
      <c r="U79" s="4">
        <f t="shared" si="20"/>
        <v>17181.2817</v>
      </c>
      <c r="V79" s="4">
        <f t="shared" si="21"/>
        <v>-1.718300000000454</v>
      </c>
      <c r="W79">
        <v>17183</v>
      </c>
      <c r="X79">
        <v>8619</v>
      </c>
      <c r="Y79">
        <v>8564</v>
      </c>
      <c r="Z79">
        <v>526</v>
      </c>
      <c r="AA79">
        <v>2642</v>
      </c>
      <c r="AB79">
        <v>3088</v>
      </c>
      <c r="AC79">
        <v>2775</v>
      </c>
      <c r="AD79">
        <v>3145</v>
      </c>
      <c r="AE79">
        <v>2711</v>
      </c>
      <c r="AF79">
        <v>1597</v>
      </c>
      <c r="AG79">
        <v>616</v>
      </c>
      <c r="AH79">
        <v>83</v>
      </c>
      <c r="AI79" s="5">
        <v>50.160041901879801</v>
      </c>
      <c r="AJ79" s="5">
        <v>49.839958098120199</v>
      </c>
      <c r="AK79" s="5">
        <v>3.0611651050456801</v>
      </c>
      <c r="AL79" s="5">
        <v>15.3756619915032</v>
      </c>
      <c r="AM79" s="5">
        <v>17.971250654716901</v>
      </c>
      <c r="AN79" s="5">
        <v>16.149682826048998</v>
      </c>
      <c r="AO79" s="5">
        <v>18.302973869522202</v>
      </c>
      <c r="AP79" s="5">
        <v>15.7772216725834</v>
      </c>
      <c r="AQ79" s="5">
        <v>9.2940697200721694</v>
      </c>
      <c r="AR79" s="5">
        <v>3.58493860210673</v>
      </c>
      <c r="AS79" s="5">
        <v>0.48303555840074502</v>
      </c>
    </row>
    <row r="80" spans="1:45" x14ac:dyDescent="0.25">
      <c r="A80" t="s">
        <v>227</v>
      </c>
      <c r="B80" t="s">
        <v>228</v>
      </c>
      <c r="C80" t="s">
        <v>81</v>
      </c>
      <c r="D80">
        <v>16.649999999999999</v>
      </c>
      <c r="E80" s="2">
        <f t="shared" si="12"/>
        <v>2255.5754999999999</v>
      </c>
      <c r="F80">
        <v>32.04</v>
      </c>
      <c r="G80" s="2">
        <f t="shared" si="13"/>
        <v>4340.4588000000003</v>
      </c>
      <c r="H80">
        <v>27.04</v>
      </c>
      <c r="I80" s="2">
        <f t="shared" si="14"/>
        <v>3663.1088</v>
      </c>
      <c r="J80">
        <v>14.51</v>
      </c>
      <c r="K80" s="2">
        <f t="shared" si="15"/>
        <v>1965.6696999999999</v>
      </c>
      <c r="L80">
        <v>8.07</v>
      </c>
      <c r="M80" s="2">
        <f t="shared" si="16"/>
        <v>1093.2429000000002</v>
      </c>
      <c r="N80">
        <v>0.48</v>
      </c>
      <c r="O80" s="2">
        <f t="shared" si="17"/>
        <v>65.025599999999997</v>
      </c>
      <c r="P80">
        <v>0.89</v>
      </c>
      <c r="Q80" s="2">
        <f t="shared" si="18"/>
        <v>120.56829999999999</v>
      </c>
      <c r="R80">
        <v>0.33</v>
      </c>
      <c r="S80" s="3">
        <f t="shared" si="19"/>
        <v>44.705100000000002</v>
      </c>
      <c r="T80" t="s">
        <v>82</v>
      </c>
      <c r="U80" s="4">
        <f t="shared" si="20"/>
        <v>13548.3547</v>
      </c>
      <c r="V80" s="4">
        <f t="shared" si="21"/>
        <v>1.3546999999998661</v>
      </c>
      <c r="W80">
        <v>13547</v>
      </c>
      <c r="X80">
        <v>6847</v>
      </c>
      <c r="Y80">
        <v>6700</v>
      </c>
      <c r="Z80">
        <v>416</v>
      </c>
      <c r="AA80">
        <v>2106</v>
      </c>
      <c r="AB80">
        <v>2330</v>
      </c>
      <c r="AC80">
        <v>2232</v>
      </c>
      <c r="AD80">
        <v>2321</v>
      </c>
      <c r="AE80">
        <v>2043</v>
      </c>
      <c r="AF80">
        <v>1309</v>
      </c>
      <c r="AG80">
        <v>678</v>
      </c>
      <c r="AH80">
        <v>112</v>
      </c>
      <c r="AI80" s="5">
        <v>50.5425555473537</v>
      </c>
      <c r="AJ80" s="5">
        <v>49.4574444526463</v>
      </c>
      <c r="AK80" s="5">
        <v>3.0707905809404301</v>
      </c>
      <c r="AL80" s="5">
        <v>15.5458773160109</v>
      </c>
      <c r="AM80" s="5">
        <v>17.1993799365173</v>
      </c>
      <c r="AN80" s="5">
        <v>16.475972540045799</v>
      </c>
      <c r="AO80" s="5">
        <v>17.132944563372</v>
      </c>
      <c r="AP80" s="5">
        <v>15.0808297039935</v>
      </c>
      <c r="AQ80" s="5">
        <v>9.6626559385841908</v>
      </c>
      <c r="AR80" s="5">
        <v>5.0047981102827199</v>
      </c>
      <c r="AS80" s="5">
        <v>0.82675131025319304</v>
      </c>
    </row>
    <row r="81" spans="1:45" x14ac:dyDescent="0.25">
      <c r="A81" t="s">
        <v>229</v>
      </c>
      <c r="B81" t="s">
        <v>230</v>
      </c>
      <c r="C81" t="s">
        <v>141</v>
      </c>
      <c r="D81">
        <v>20.38</v>
      </c>
      <c r="E81" s="2">
        <f t="shared" si="12"/>
        <v>2465.5724</v>
      </c>
      <c r="F81">
        <v>33.28</v>
      </c>
      <c r="G81" s="2">
        <f t="shared" si="13"/>
        <v>4026.2143999999998</v>
      </c>
      <c r="H81">
        <v>26.76</v>
      </c>
      <c r="I81" s="2">
        <f t="shared" si="14"/>
        <v>3237.4248000000002</v>
      </c>
      <c r="J81">
        <v>10.35</v>
      </c>
      <c r="K81" s="2">
        <f t="shared" si="15"/>
        <v>1252.143</v>
      </c>
      <c r="L81">
        <v>6.58</v>
      </c>
      <c r="M81" s="2">
        <f t="shared" si="16"/>
        <v>796.04840000000002</v>
      </c>
      <c r="N81">
        <v>0.55000000000000004</v>
      </c>
      <c r="O81" s="2">
        <f t="shared" si="17"/>
        <v>66.539000000000001</v>
      </c>
      <c r="P81">
        <v>1.43</v>
      </c>
      <c r="Q81" s="2">
        <f t="shared" si="18"/>
        <v>173.00139999999999</v>
      </c>
      <c r="R81">
        <v>0.66</v>
      </c>
      <c r="S81" s="3">
        <f t="shared" si="19"/>
        <v>79.846800000000002</v>
      </c>
      <c r="T81" t="s">
        <v>142</v>
      </c>
      <c r="U81" s="4">
        <f t="shared" si="20"/>
        <v>12096.790199999999</v>
      </c>
      <c r="V81" s="4">
        <f t="shared" si="21"/>
        <v>-1.2098000000005413</v>
      </c>
      <c r="W81">
        <v>12098</v>
      </c>
      <c r="X81">
        <v>5955</v>
      </c>
      <c r="Y81">
        <v>6143</v>
      </c>
      <c r="Z81">
        <v>390</v>
      </c>
      <c r="AA81">
        <v>1975</v>
      </c>
      <c r="AB81">
        <v>2150</v>
      </c>
      <c r="AC81">
        <v>1926</v>
      </c>
      <c r="AD81">
        <v>2053</v>
      </c>
      <c r="AE81">
        <v>1874</v>
      </c>
      <c r="AF81">
        <v>1022</v>
      </c>
      <c r="AG81">
        <v>588</v>
      </c>
      <c r="AH81">
        <v>120</v>
      </c>
      <c r="AI81" s="5">
        <v>49.2230120681104</v>
      </c>
      <c r="AJ81" s="5">
        <v>50.7769879318896</v>
      </c>
      <c r="AK81" s="5">
        <v>3.22367333443544</v>
      </c>
      <c r="AL81" s="5">
        <v>16.325012398743599</v>
      </c>
      <c r="AM81" s="5">
        <v>17.771532484708199</v>
      </c>
      <c r="AN81" s="5">
        <v>15.9199867746735</v>
      </c>
      <c r="AO81" s="5">
        <v>16.969747065630699</v>
      </c>
      <c r="AP81" s="5">
        <v>15.4901636634154</v>
      </c>
      <c r="AQ81" s="5">
        <v>8.4476773020333908</v>
      </c>
      <c r="AR81" s="5">
        <v>4.86030748884113</v>
      </c>
      <c r="AS81" s="5">
        <v>0.99189948751859802</v>
      </c>
    </row>
    <row r="82" spans="1:45" x14ac:dyDescent="0.25">
      <c r="A82" t="s">
        <v>231</v>
      </c>
      <c r="B82" t="s">
        <v>232</v>
      </c>
      <c r="C82" t="s">
        <v>233</v>
      </c>
      <c r="D82">
        <v>30.96</v>
      </c>
      <c r="E82" s="2">
        <f t="shared" si="12"/>
        <v>42008.385600000009</v>
      </c>
      <c r="F82">
        <v>19.61</v>
      </c>
      <c r="G82" s="2">
        <f t="shared" si="13"/>
        <v>26608.024600000001</v>
      </c>
      <c r="H82">
        <v>26.75</v>
      </c>
      <c r="I82" s="2">
        <f t="shared" si="14"/>
        <v>36296.004999999997</v>
      </c>
      <c r="J82">
        <v>11.04</v>
      </c>
      <c r="K82" s="2">
        <f t="shared" si="15"/>
        <v>14979.734399999999</v>
      </c>
      <c r="L82">
        <v>8.08</v>
      </c>
      <c r="M82" s="2">
        <f t="shared" si="16"/>
        <v>10963.428800000002</v>
      </c>
      <c r="N82">
        <v>1.03</v>
      </c>
      <c r="O82" s="2">
        <f t="shared" si="17"/>
        <v>1397.5658000000001</v>
      </c>
      <c r="P82">
        <v>1.84</v>
      </c>
      <c r="Q82" s="2">
        <f t="shared" si="18"/>
        <v>2496.6224000000002</v>
      </c>
      <c r="R82">
        <v>0.68</v>
      </c>
      <c r="S82" s="3">
        <f t="shared" si="19"/>
        <v>922.66480000000013</v>
      </c>
      <c r="T82" t="s">
        <v>234</v>
      </c>
      <c r="U82" s="4">
        <f t="shared" si="20"/>
        <v>135672.4314</v>
      </c>
      <c r="V82" s="4">
        <f t="shared" si="21"/>
        <v>-13.568599999998696</v>
      </c>
      <c r="W82">
        <v>135686</v>
      </c>
      <c r="X82">
        <v>69525</v>
      </c>
      <c r="Y82">
        <v>66161</v>
      </c>
      <c r="Z82">
        <v>5338</v>
      </c>
      <c r="AA82">
        <v>26290</v>
      </c>
      <c r="AB82">
        <v>28449</v>
      </c>
      <c r="AC82">
        <v>23104</v>
      </c>
      <c r="AD82">
        <v>20554</v>
      </c>
      <c r="AE82">
        <v>17339</v>
      </c>
      <c r="AF82">
        <v>10369</v>
      </c>
      <c r="AG82">
        <v>3758</v>
      </c>
      <c r="AH82">
        <v>485</v>
      </c>
      <c r="AI82" s="5">
        <v>51.239626785372103</v>
      </c>
      <c r="AJ82" s="5">
        <v>48.760373214627897</v>
      </c>
      <c r="AK82" s="5">
        <v>3.9340831036363402</v>
      </c>
      <c r="AL82" s="5">
        <v>19.3756172339077</v>
      </c>
      <c r="AM82" s="5">
        <v>20.966790973276499</v>
      </c>
      <c r="AN82" s="5">
        <v>17.027548899665401</v>
      </c>
      <c r="AO82" s="5">
        <v>15.148209837418699</v>
      </c>
      <c r="AP82" s="5">
        <v>12.778768627566601</v>
      </c>
      <c r="AQ82" s="5">
        <v>7.6419085240923899</v>
      </c>
      <c r="AR82" s="5">
        <v>2.7696298807540898</v>
      </c>
      <c r="AS82" s="5">
        <v>0.35744291968220698</v>
      </c>
    </row>
    <row r="83" spans="1:45" x14ac:dyDescent="0.25">
      <c r="A83" t="s">
        <v>235</v>
      </c>
      <c r="B83" t="s">
        <v>236</v>
      </c>
      <c r="C83" t="s">
        <v>81</v>
      </c>
      <c r="D83">
        <v>27.19</v>
      </c>
      <c r="E83" s="2">
        <f t="shared" si="12"/>
        <v>11710.733</v>
      </c>
      <c r="F83">
        <v>22.11</v>
      </c>
      <c r="G83" s="2">
        <f t="shared" si="13"/>
        <v>9522.777</v>
      </c>
      <c r="H83">
        <v>26.74</v>
      </c>
      <c r="I83" s="2">
        <f t="shared" si="14"/>
        <v>11516.918</v>
      </c>
      <c r="J83">
        <v>11.51</v>
      </c>
      <c r="K83" s="2">
        <f t="shared" si="15"/>
        <v>4957.357</v>
      </c>
      <c r="L83">
        <v>9.41</v>
      </c>
      <c r="M83" s="2">
        <f t="shared" si="16"/>
        <v>4052.8870000000002</v>
      </c>
      <c r="N83">
        <v>1.06</v>
      </c>
      <c r="O83" s="2">
        <f t="shared" si="17"/>
        <v>456.54200000000003</v>
      </c>
      <c r="P83">
        <v>1.17</v>
      </c>
      <c r="Q83" s="2">
        <f t="shared" si="18"/>
        <v>503.91899999999993</v>
      </c>
      <c r="R83">
        <v>0.81</v>
      </c>
      <c r="S83" s="3">
        <f t="shared" si="19"/>
        <v>348.86700000000002</v>
      </c>
      <c r="T83" t="s">
        <v>82</v>
      </c>
      <c r="U83" s="4">
        <f t="shared" si="20"/>
        <v>43070</v>
      </c>
      <c r="V83" s="4">
        <f t="shared" si="21"/>
        <v>0</v>
      </c>
      <c r="W83">
        <v>43070</v>
      </c>
      <c r="X83">
        <v>22452</v>
      </c>
      <c r="Y83">
        <v>20618</v>
      </c>
      <c r="Z83">
        <v>1271</v>
      </c>
      <c r="AA83">
        <v>6779</v>
      </c>
      <c r="AB83">
        <v>8007</v>
      </c>
      <c r="AC83">
        <v>6824</v>
      </c>
      <c r="AD83">
        <v>7432</v>
      </c>
      <c r="AE83">
        <v>6777</v>
      </c>
      <c r="AF83">
        <v>4017</v>
      </c>
      <c r="AG83">
        <v>1649</v>
      </c>
      <c r="AH83">
        <v>314</v>
      </c>
      <c r="AI83" s="5">
        <v>52.1290921755282</v>
      </c>
      <c r="AJ83" s="5">
        <v>47.8709078244718</v>
      </c>
      <c r="AK83" s="5">
        <v>2.9510099837473902</v>
      </c>
      <c r="AL83" s="5">
        <v>15.7394938472254</v>
      </c>
      <c r="AM83" s="5">
        <v>18.590666357093099</v>
      </c>
      <c r="AN83" s="5">
        <v>15.843974924541399</v>
      </c>
      <c r="AO83" s="5">
        <v>17.2556303691665</v>
      </c>
      <c r="AP83" s="5">
        <v>15.7348502437892</v>
      </c>
      <c r="AQ83" s="5">
        <v>9.3266775017413508</v>
      </c>
      <c r="AR83" s="5">
        <v>3.8286510332017598</v>
      </c>
      <c r="AS83" s="5">
        <v>0.72904573949384699</v>
      </c>
    </row>
    <row r="84" spans="1:45" x14ac:dyDescent="0.25">
      <c r="A84" t="s">
        <v>237</v>
      </c>
      <c r="B84" t="s">
        <v>238</v>
      </c>
      <c r="C84" t="s">
        <v>147</v>
      </c>
      <c r="D84">
        <v>18.36</v>
      </c>
      <c r="E84" s="2">
        <f t="shared" si="12"/>
        <v>1793.2212</v>
      </c>
      <c r="F84">
        <v>32.86</v>
      </c>
      <c r="G84" s="2">
        <f t="shared" si="13"/>
        <v>3209.4362000000001</v>
      </c>
      <c r="H84">
        <v>26.64</v>
      </c>
      <c r="I84" s="2">
        <f t="shared" si="14"/>
        <v>2601.9288000000001</v>
      </c>
      <c r="J84">
        <v>12.28</v>
      </c>
      <c r="K84" s="2">
        <f t="shared" si="15"/>
        <v>1199.3876</v>
      </c>
      <c r="L84">
        <v>7.72</v>
      </c>
      <c r="M84" s="2">
        <f t="shared" si="16"/>
        <v>754.01239999999996</v>
      </c>
      <c r="N84">
        <v>0.56999999999999995</v>
      </c>
      <c r="O84" s="2">
        <f t="shared" si="17"/>
        <v>55.671899999999994</v>
      </c>
      <c r="P84">
        <v>1.23</v>
      </c>
      <c r="Q84" s="2">
        <f t="shared" si="18"/>
        <v>120.1341</v>
      </c>
      <c r="R84">
        <v>0.35</v>
      </c>
      <c r="S84" s="3">
        <f t="shared" si="19"/>
        <v>34.1845</v>
      </c>
      <c r="T84" t="s">
        <v>148</v>
      </c>
      <c r="U84" s="4">
        <f t="shared" si="20"/>
        <v>9767.9766999999993</v>
      </c>
      <c r="V84" s="4">
        <f t="shared" si="21"/>
        <v>0.97669999999925494</v>
      </c>
      <c r="W84">
        <v>9767</v>
      </c>
      <c r="X84">
        <v>4926</v>
      </c>
      <c r="Y84">
        <v>4841</v>
      </c>
      <c r="Z84">
        <v>306</v>
      </c>
      <c r="AA84">
        <v>1533</v>
      </c>
      <c r="AB84">
        <v>1722</v>
      </c>
      <c r="AC84">
        <v>1530</v>
      </c>
      <c r="AD84">
        <v>1819</v>
      </c>
      <c r="AE84">
        <v>1505</v>
      </c>
      <c r="AF84">
        <v>935</v>
      </c>
      <c r="AG84">
        <v>360</v>
      </c>
      <c r="AH84">
        <v>57</v>
      </c>
      <c r="AI84" s="5">
        <v>50.435138732466498</v>
      </c>
      <c r="AJ84" s="5">
        <v>49.564861267533502</v>
      </c>
      <c r="AK84" s="5">
        <v>3.1329988737585701</v>
      </c>
      <c r="AL84" s="5">
        <v>15.6957100440258</v>
      </c>
      <c r="AM84" s="5">
        <v>17.6307975837002</v>
      </c>
      <c r="AN84" s="5">
        <v>15.6649943687929</v>
      </c>
      <c r="AO84" s="5">
        <v>18.623937749564899</v>
      </c>
      <c r="AP84" s="5">
        <v>15.4090304085185</v>
      </c>
      <c r="AQ84" s="5">
        <v>9.5730521142623104</v>
      </c>
      <c r="AR84" s="5">
        <v>3.6858810279512602</v>
      </c>
      <c r="AS84" s="5">
        <v>0.583597829425617</v>
      </c>
    </row>
    <row r="85" spans="1:45" x14ac:dyDescent="0.25">
      <c r="A85" t="s">
        <v>239</v>
      </c>
      <c r="B85" t="s">
        <v>240</v>
      </c>
      <c r="C85" t="s">
        <v>75</v>
      </c>
      <c r="D85">
        <v>35.07</v>
      </c>
      <c r="E85" s="2">
        <f t="shared" si="12"/>
        <v>3955.1946000000003</v>
      </c>
      <c r="F85">
        <v>15.36</v>
      </c>
      <c r="G85" s="2">
        <f t="shared" si="13"/>
        <v>1732.3008</v>
      </c>
      <c r="H85">
        <v>26.6</v>
      </c>
      <c r="I85" s="2">
        <f t="shared" si="14"/>
        <v>2999.9479999999999</v>
      </c>
      <c r="J85">
        <v>11.34</v>
      </c>
      <c r="K85" s="2">
        <f t="shared" si="15"/>
        <v>1278.9252000000001</v>
      </c>
      <c r="L85">
        <v>8.91</v>
      </c>
      <c r="M85" s="2">
        <f t="shared" si="16"/>
        <v>1004.8697999999999</v>
      </c>
      <c r="N85">
        <v>0.74</v>
      </c>
      <c r="O85" s="2">
        <f t="shared" si="17"/>
        <v>83.4572</v>
      </c>
      <c r="P85">
        <v>1.42</v>
      </c>
      <c r="Q85" s="2">
        <f t="shared" si="18"/>
        <v>160.14759999999998</v>
      </c>
      <c r="R85">
        <v>0.56000000000000005</v>
      </c>
      <c r="S85" s="3">
        <f t="shared" si="19"/>
        <v>63.156800000000004</v>
      </c>
      <c r="T85" t="s">
        <v>76</v>
      </c>
      <c r="U85" s="4">
        <f t="shared" si="20"/>
        <v>11278</v>
      </c>
      <c r="V85" s="4">
        <f t="shared" si="21"/>
        <v>0</v>
      </c>
      <c r="W85">
        <v>11278</v>
      </c>
      <c r="X85">
        <v>5526</v>
      </c>
      <c r="Y85">
        <v>5752</v>
      </c>
      <c r="Z85">
        <v>347</v>
      </c>
      <c r="AA85">
        <v>1697</v>
      </c>
      <c r="AB85">
        <v>1937</v>
      </c>
      <c r="AC85">
        <v>1660</v>
      </c>
      <c r="AD85">
        <v>2117</v>
      </c>
      <c r="AE85">
        <v>1829</v>
      </c>
      <c r="AF85">
        <v>1040</v>
      </c>
      <c r="AG85">
        <v>546</v>
      </c>
      <c r="AH85">
        <v>105</v>
      </c>
      <c r="AI85" s="5">
        <v>48.998049299521199</v>
      </c>
      <c r="AJ85" s="5">
        <v>51.001950700478801</v>
      </c>
      <c r="AK85" s="5">
        <v>3.0767866643021802</v>
      </c>
      <c r="AL85" s="5">
        <v>15.0469941478986</v>
      </c>
      <c r="AM85" s="5">
        <v>17.175031033871299</v>
      </c>
      <c r="AN85" s="5">
        <v>14.7189217946444</v>
      </c>
      <c r="AO85" s="5">
        <v>18.771058698350799</v>
      </c>
      <c r="AP85" s="5">
        <v>16.2174144351835</v>
      </c>
      <c r="AQ85" s="5">
        <v>9.2214931725483194</v>
      </c>
      <c r="AR85" s="5">
        <v>4.8412839155878702</v>
      </c>
      <c r="AS85" s="5">
        <v>0.93101613761305202</v>
      </c>
    </row>
    <row r="86" spans="1:45" x14ac:dyDescent="0.25">
      <c r="A86" t="s">
        <v>241</v>
      </c>
      <c r="B86" t="s">
        <v>242</v>
      </c>
      <c r="C86" t="s">
        <v>113</v>
      </c>
      <c r="D86">
        <v>34.18</v>
      </c>
      <c r="E86" s="2">
        <f t="shared" si="12"/>
        <v>3228.3009999999999</v>
      </c>
      <c r="F86">
        <v>18.22</v>
      </c>
      <c r="G86" s="2">
        <f t="shared" si="13"/>
        <v>1720.8789999999999</v>
      </c>
      <c r="H86">
        <v>26.57</v>
      </c>
      <c r="I86" s="2">
        <f t="shared" si="14"/>
        <v>2509.5365000000002</v>
      </c>
      <c r="J86">
        <v>10.51</v>
      </c>
      <c r="K86" s="2">
        <f t="shared" si="15"/>
        <v>992.66949999999997</v>
      </c>
      <c r="L86">
        <v>7.76</v>
      </c>
      <c r="M86" s="2">
        <f t="shared" si="16"/>
        <v>732.93200000000002</v>
      </c>
      <c r="N86">
        <v>0.94</v>
      </c>
      <c r="O86" s="2">
        <f t="shared" si="17"/>
        <v>88.782999999999987</v>
      </c>
      <c r="P86">
        <v>1.45</v>
      </c>
      <c r="Q86" s="2">
        <f t="shared" si="18"/>
        <v>136.95249999999999</v>
      </c>
      <c r="R86">
        <v>0.38</v>
      </c>
      <c r="S86" s="3">
        <f t="shared" si="19"/>
        <v>35.890999999999998</v>
      </c>
      <c r="T86" t="s">
        <v>114</v>
      </c>
      <c r="U86" s="4">
        <f t="shared" si="20"/>
        <v>9445.9444999999996</v>
      </c>
      <c r="V86" s="4">
        <f t="shared" si="21"/>
        <v>0.9444999999996071</v>
      </c>
      <c r="W86">
        <v>9445</v>
      </c>
      <c r="X86">
        <v>4687</v>
      </c>
      <c r="Y86">
        <v>4758</v>
      </c>
      <c r="Z86">
        <v>260</v>
      </c>
      <c r="AA86">
        <v>1308</v>
      </c>
      <c r="AB86">
        <v>1759</v>
      </c>
      <c r="AC86">
        <v>1477</v>
      </c>
      <c r="AD86">
        <v>1680</v>
      </c>
      <c r="AE86">
        <v>1484</v>
      </c>
      <c r="AF86">
        <v>944</v>
      </c>
      <c r="AG86">
        <v>447</v>
      </c>
      <c r="AH86">
        <v>86</v>
      </c>
      <c r="AI86" s="5">
        <v>49.624139756484901</v>
      </c>
      <c r="AJ86" s="5">
        <v>50.375860243515099</v>
      </c>
      <c r="AK86" s="5">
        <v>2.7527792482795101</v>
      </c>
      <c r="AL86" s="5">
        <v>13.8485971413446</v>
      </c>
      <c r="AM86" s="5">
        <v>18.623610375860199</v>
      </c>
      <c r="AN86" s="5">
        <v>15.637903652726299</v>
      </c>
      <c r="AO86" s="5">
        <v>17.787188988882999</v>
      </c>
      <c r="AP86" s="5">
        <v>15.71201694018</v>
      </c>
      <c r="AQ86" s="5">
        <v>9.9947061937533093</v>
      </c>
      <c r="AR86" s="5">
        <v>4.7326627845420903</v>
      </c>
      <c r="AS86" s="5">
        <v>0.91053467443091596</v>
      </c>
    </row>
    <row r="87" spans="1:45" x14ac:dyDescent="0.25">
      <c r="A87" t="s">
        <v>243</v>
      </c>
      <c r="B87" t="s">
        <v>244</v>
      </c>
      <c r="C87" t="s">
        <v>81</v>
      </c>
      <c r="D87">
        <v>20.23</v>
      </c>
      <c r="E87" s="2">
        <f t="shared" si="12"/>
        <v>943.72949999999992</v>
      </c>
      <c r="F87">
        <v>29.14</v>
      </c>
      <c r="G87" s="2">
        <f t="shared" si="13"/>
        <v>1359.3810000000001</v>
      </c>
      <c r="H87">
        <v>26.33</v>
      </c>
      <c r="I87" s="2">
        <f t="shared" si="14"/>
        <v>1228.2945</v>
      </c>
      <c r="J87">
        <v>15.14</v>
      </c>
      <c r="K87" s="2">
        <f t="shared" si="15"/>
        <v>706.28100000000006</v>
      </c>
      <c r="L87">
        <v>7.33</v>
      </c>
      <c r="M87" s="2">
        <f t="shared" si="16"/>
        <v>341.94449999999995</v>
      </c>
      <c r="N87">
        <v>0.56999999999999995</v>
      </c>
      <c r="O87" s="2">
        <f t="shared" si="17"/>
        <v>26.590499999999999</v>
      </c>
      <c r="P87">
        <v>0.87</v>
      </c>
      <c r="Q87" s="2">
        <f t="shared" si="18"/>
        <v>40.585500000000003</v>
      </c>
      <c r="R87">
        <v>0.38</v>
      </c>
      <c r="S87" s="3">
        <f t="shared" si="19"/>
        <v>17.727</v>
      </c>
      <c r="T87" t="s">
        <v>82</v>
      </c>
      <c r="U87" s="4">
        <f t="shared" si="20"/>
        <v>4664.5334999999995</v>
      </c>
      <c r="V87" s="4">
        <f t="shared" si="21"/>
        <v>-0.46650000000045111</v>
      </c>
      <c r="W87">
        <v>4665</v>
      </c>
      <c r="X87">
        <v>2354</v>
      </c>
      <c r="Y87">
        <v>2311</v>
      </c>
      <c r="Z87">
        <v>130</v>
      </c>
      <c r="AA87">
        <v>623</v>
      </c>
      <c r="AB87">
        <v>720</v>
      </c>
      <c r="AC87">
        <v>769</v>
      </c>
      <c r="AD87">
        <v>817</v>
      </c>
      <c r="AE87">
        <v>817</v>
      </c>
      <c r="AF87">
        <v>484</v>
      </c>
      <c r="AG87">
        <v>250</v>
      </c>
      <c r="AH87">
        <v>55</v>
      </c>
      <c r="AI87" s="5">
        <v>50.460878885316198</v>
      </c>
      <c r="AJ87" s="5">
        <v>49.539121114683802</v>
      </c>
      <c r="AK87" s="5">
        <v>2.7867095391211101</v>
      </c>
      <c r="AL87" s="5">
        <v>13.354769560557299</v>
      </c>
      <c r="AM87" s="5">
        <v>15.434083601286201</v>
      </c>
      <c r="AN87" s="5">
        <v>16.484458735262599</v>
      </c>
      <c r="AO87" s="5">
        <v>17.513397642015001</v>
      </c>
      <c r="AP87" s="5">
        <v>17.513397642015001</v>
      </c>
      <c r="AQ87" s="5">
        <v>10.3751339764202</v>
      </c>
      <c r="AR87" s="5">
        <v>5.3590568060021404</v>
      </c>
      <c r="AS87" s="5">
        <v>1.17899249732047</v>
      </c>
    </row>
    <row r="88" spans="1:45" x14ac:dyDescent="0.25">
      <c r="A88" t="s">
        <v>245</v>
      </c>
      <c r="B88" t="s">
        <v>246</v>
      </c>
      <c r="C88" t="s">
        <v>147</v>
      </c>
      <c r="D88">
        <v>19.8</v>
      </c>
      <c r="E88" s="2">
        <f t="shared" si="12"/>
        <v>6313.6260000000002</v>
      </c>
      <c r="F88">
        <v>30.1</v>
      </c>
      <c r="G88" s="2">
        <f t="shared" si="13"/>
        <v>9597.987000000001</v>
      </c>
      <c r="H88">
        <v>26.32</v>
      </c>
      <c r="I88" s="2">
        <f t="shared" si="14"/>
        <v>8392.6584000000003</v>
      </c>
      <c r="J88">
        <v>12.53</v>
      </c>
      <c r="K88" s="2">
        <f t="shared" si="15"/>
        <v>3995.4411</v>
      </c>
      <c r="L88">
        <v>8.83</v>
      </c>
      <c r="M88" s="2">
        <f t="shared" si="16"/>
        <v>2815.6221</v>
      </c>
      <c r="N88">
        <v>0.95</v>
      </c>
      <c r="O88" s="2">
        <f t="shared" si="17"/>
        <v>302.92649999999998</v>
      </c>
      <c r="P88">
        <v>1.08</v>
      </c>
      <c r="Q88" s="2">
        <f t="shared" si="18"/>
        <v>344.37959999999998</v>
      </c>
      <c r="R88">
        <v>0.39</v>
      </c>
      <c r="S88" s="3">
        <f t="shared" si="19"/>
        <v>124.3593</v>
      </c>
      <c r="T88" t="s">
        <v>148</v>
      </c>
      <c r="U88" s="4">
        <f t="shared" si="20"/>
        <v>31887.000000000004</v>
      </c>
      <c r="V88" s="4">
        <f t="shared" si="21"/>
        <v>0</v>
      </c>
      <c r="W88">
        <v>31887</v>
      </c>
      <c r="X88">
        <v>16738</v>
      </c>
      <c r="Y88">
        <v>15149</v>
      </c>
      <c r="Z88">
        <v>1373</v>
      </c>
      <c r="AA88">
        <v>5578</v>
      </c>
      <c r="AB88">
        <v>6329</v>
      </c>
      <c r="AC88">
        <v>6185</v>
      </c>
      <c r="AD88">
        <v>5381</v>
      </c>
      <c r="AE88">
        <v>3960</v>
      </c>
      <c r="AF88">
        <v>2171</v>
      </c>
      <c r="AG88">
        <v>792</v>
      </c>
      <c r="AH88">
        <v>118</v>
      </c>
      <c r="AI88" s="5">
        <v>52.491611001348502</v>
      </c>
      <c r="AJ88" s="5">
        <v>47.508388998651498</v>
      </c>
      <c r="AK88" s="5">
        <v>4.3058299620535001</v>
      </c>
      <c r="AL88" s="5">
        <v>17.493022234766499</v>
      </c>
      <c r="AM88" s="5">
        <v>19.8482140057077</v>
      </c>
      <c r="AN88" s="5">
        <v>19.396619311945301</v>
      </c>
      <c r="AO88" s="5">
        <v>16.875215605105499</v>
      </c>
      <c r="AP88" s="5">
        <v>12.4188540784646</v>
      </c>
      <c r="AQ88" s="5">
        <v>6.8084172233198501</v>
      </c>
      <c r="AR88" s="5">
        <v>2.4837708156929201</v>
      </c>
      <c r="AS88" s="5">
        <v>0.37005676294414702</v>
      </c>
    </row>
    <row r="89" spans="1:45" x14ac:dyDescent="0.25">
      <c r="A89" t="s">
        <v>247</v>
      </c>
      <c r="B89" t="s">
        <v>248</v>
      </c>
      <c r="C89" t="s">
        <v>217</v>
      </c>
      <c r="D89">
        <v>19.68</v>
      </c>
      <c r="E89" s="2">
        <f t="shared" si="12"/>
        <v>4915.8671999999997</v>
      </c>
      <c r="F89">
        <v>28.9</v>
      </c>
      <c r="G89" s="2">
        <f t="shared" si="13"/>
        <v>7218.9309999999996</v>
      </c>
      <c r="H89">
        <v>26.25</v>
      </c>
      <c r="I89" s="2">
        <f t="shared" si="14"/>
        <v>6556.9875000000002</v>
      </c>
      <c r="J89">
        <v>11.89</v>
      </c>
      <c r="K89" s="2">
        <f t="shared" si="15"/>
        <v>2970.0030999999999</v>
      </c>
      <c r="L89">
        <v>10.84</v>
      </c>
      <c r="M89" s="2">
        <f t="shared" si="16"/>
        <v>2707.7235999999998</v>
      </c>
      <c r="N89">
        <v>0.95</v>
      </c>
      <c r="O89" s="2">
        <f t="shared" si="17"/>
        <v>237.3005</v>
      </c>
      <c r="P89">
        <v>1.1200000000000001</v>
      </c>
      <c r="Q89" s="2">
        <f t="shared" si="18"/>
        <v>279.76480000000004</v>
      </c>
      <c r="R89">
        <v>0.38</v>
      </c>
      <c r="S89" s="3">
        <f t="shared" si="19"/>
        <v>94.920200000000008</v>
      </c>
      <c r="T89" t="s">
        <v>218</v>
      </c>
      <c r="U89" s="4">
        <f t="shared" si="20"/>
        <v>24981.497900000002</v>
      </c>
      <c r="V89" s="4">
        <f t="shared" si="21"/>
        <v>2.4979000000021188</v>
      </c>
      <c r="W89">
        <v>24979</v>
      </c>
      <c r="X89">
        <v>12480</v>
      </c>
      <c r="Y89">
        <v>12499</v>
      </c>
      <c r="Z89">
        <v>811</v>
      </c>
      <c r="AA89">
        <v>4206</v>
      </c>
      <c r="AB89">
        <v>4888</v>
      </c>
      <c r="AC89">
        <v>4176</v>
      </c>
      <c r="AD89">
        <v>4421</v>
      </c>
      <c r="AE89">
        <v>3523</v>
      </c>
      <c r="AF89">
        <v>2022</v>
      </c>
      <c r="AG89">
        <v>791</v>
      </c>
      <c r="AH89">
        <v>141</v>
      </c>
      <c r="AI89" s="5">
        <v>49.961968053164703</v>
      </c>
      <c r="AJ89" s="5">
        <v>50.038031946835297</v>
      </c>
      <c r="AK89" s="5">
        <v>3.2467272508907499</v>
      </c>
      <c r="AL89" s="5">
        <v>16.838144040994401</v>
      </c>
      <c r="AM89" s="5">
        <v>19.568437487489501</v>
      </c>
      <c r="AN89" s="5">
        <v>16.718043156251198</v>
      </c>
      <c r="AO89" s="5">
        <v>17.698867048320601</v>
      </c>
      <c r="AP89" s="5">
        <v>14.1038472316746</v>
      </c>
      <c r="AQ89" s="5">
        <v>8.0947996316906199</v>
      </c>
      <c r="AR89" s="5">
        <v>3.1666599943952898</v>
      </c>
      <c r="AS89" s="5">
        <v>0.56447415829296599</v>
      </c>
    </row>
    <row r="90" spans="1:45" x14ac:dyDescent="0.25">
      <c r="A90" t="s">
        <v>249</v>
      </c>
      <c r="B90" t="s">
        <v>250</v>
      </c>
      <c r="C90" t="s">
        <v>147</v>
      </c>
      <c r="D90">
        <v>20.41</v>
      </c>
      <c r="E90" s="2">
        <f t="shared" si="12"/>
        <v>4217.7265000000007</v>
      </c>
      <c r="F90">
        <v>31.34</v>
      </c>
      <c r="G90" s="2">
        <f t="shared" si="13"/>
        <v>6476.4110000000001</v>
      </c>
      <c r="H90">
        <v>26.05</v>
      </c>
      <c r="I90" s="2">
        <f t="shared" si="14"/>
        <v>5383.2325000000001</v>
      </c>
      <c r="J90">
        <v>12.81</v>
      </c>
      <c r="K90" s="2">
        <f t="shared" si="15"/>
        <v>2647.1865000000003</v>
      </c>
      <c r="L90">
        <v>7.19</v>
      </c>
      <c r="M90" s="2">
        <f t="shared" si="16"/>
        <v>1485.8135</v>
      </c>
      <c r="N90">
        <v>0.61</v>
      </c>
      <c r="O90" s="2">
        <f t="shared" si="17"/>
        <v>126.0565</v>
      </c>
      <c r="P90">
        <v>1.1200000000000001</v>
      </c>
      <c r="Q90" s="2">
        <f t="shared" si="18"/>
        <v>231.44800000000004</v>
      </c>
      <c r="R90">
        <v>0.47</v>
      </c>
      <c r="S90" s="3">
        <f t="shared" si="19"/>
        <v>97.125499999999988</v>
      </c>
      <c r="T90" t="s">
        <v>148</v>
      </c>
      <c r="U90" s="4">
        <f t="shared" si="20"/>
        <v>20665</v>
      </c>
      <c r="V90" s="4">
        <f t="shared" si="21"/>
        <v>0</v>
      </c>
      <c r="W90">
        <v>20665</v>
      </c>
      <c r="X90">
        <v>10469</v>
      </c>
      <c r="Y90">
        <v>10196</v>
      </c>
      <c r="Z90">
        <v>639</v>
      </c>
      <c r="AA90">
        <v>3174</v>
      </c>
      <c r="AB90">
        <v>3849</v>
      </c>
      <c r="AC90">
        <v>3356</v>
      </c>
      <c r="AD90">
        <v>3508</v>
      </c>
      <c r="AE90">
        <v>3265</v>
      </c>
      <c r="AF90">
        <v>1997</v>
      </c>
      <c r="AG90">
        <v>757</v>
      </c>
      <c r="AH90">
        <v>120</v>
      </c>
      <c r="AI90" s="5">
        <v>50.660537140091897</v>
      </c>
      <c r="AJ90" s="5">
        <v>49.339462859908103</v>
      </c>
      <c r="AK90" s="5">
        <v>3.0921848536172298</v>
      </c>
      <c r="AL90" s="5">
        <v>15.3593031696105</v>
      </c>
      <c r="AM90" s="5">
        <v>18.6256956206146</v>
      </c>
      <c r="AN90" s="5">
        <v>16.240019356399699</v>
      </c>
      <c r="AO90" s="5">
        <v>16.9755625453666</v>
      </c>
      <c r="AP90" s="5">
        <v>15.799661263005101</v>
      </c>
      <c r="AQ90" s="5">
        <v>9.66368255504476</v>
      </c>
      <c r="AR90" s="5">
        <v>3.6631986450520202</v>
      </c>
      <c r="AS90" s="5">
        <v>0.58069199128962001</v>
      </c>
    </row>
    <row r="91" spans="1:45" x14ac:dyDescent="0.25">
      <c r="A91" t="s">
        <v>251</v>
      </c>
      <c r="B91" t="s">
        <v>252</v>
      </c>
      <c r="C91" t="s">
        <v>113</v>
      </c>
      <c r="D91">
        <v>24.08</v>
      </c>
      <c r="E91" s="2">
        <f t="shared" si="12"/>
        <v>2537.5503999999996</v>
      </c>
      <c r="F91">
        <v>23.03</v>
      </c>
      <c r="G91" s="2">
        <f t="shared" si="13"/>
        <v>2426.9014000000002</v>
      </c>
      <c r="H91">
        <v>26.03</v>
      </c>
      <c r="I91" s="2">
        <f t="shared" si="14"/>
        <v>2743.0414000000001</v>
      </c>
      <c r="J91">
        <v>14.41</v>
      </c>
      <c r="K91" s="2">
        <f t="shared" si="15"/>
        <v>1518.5257999999999</v>
      </c>
      <c r="L91">
        <v>9.99</v>
      </c>
      <c r="M91" s="2">
        <f t="shared" si="16"/>
        <v>1052.7462</v>
      </c>
      <c r="N91">
        <v>0.91</v>
      </c>
      <c r="O91" s="2">
        <f t="shared" si="17"/>
        <v>95.895799999999994</v>
      </c>
      <c r="P91">
        <v>1.17</v>
      </c>
      <c r="Q91" s="2">
        <f t="shared" si="18"/>
        <v>123.29459999999999</v>
      </c>
      <c r="R91">
        <v>0.37</v>
      </c>
      <c r="S91" s="3">
        <f t="shared" si="19"/>
        <v>38.990600000000001</v>
      </c>
      <c r="T91" t="s">
        <v>114</v>
      </c>
      <c r="U91" s="4">
        <f t="shared" si="20"/>
        <v>10536.9462</v>
      </c>
      <c r="V91" s="4">
        <f t="shared" si="21"/>
        <v>-1.0537999999996828</v>
      </c>
      <c r="W91">
        <v>10538</v>
      </c>
      <c r="X91">
        <v>5268</v>
      </c>
      <c r="Y91">
        <v>5270</v>
      </c>
      <c r="Z91">
        <v>307</v>
      </c>
      <c r="AA91">
        <v>1597</v>
      </c>
      <c r="AB91">
        <v>1915</v>
      </c>
      <c r="AC91">
        <v>1930</v>
      </c>
      <c r="AD91">
        <v>1910</v>
      </c>
      <c r="AE91">
        <v>1482</v>
      </c>
      <c r="AF91">
        <v>917</v>
      </c>
      <c r="AG91">
        <v>393</v>
      </c>
      <c r="AH91">
        <v>87</v>
      </c>
      <c r="AI91" s="5">
        <v>49.990510533307997</v>
      </c>
      <c r="AJ91" s="5">
        <v>50.009489466692003</v>
      </c>
      <c r="AK91" s="5">
        <v>2.9132662744353799</v>
      </c>
      <c r="AL91" s="5">
        <v>15.1546783070791</v>
      </c>
      <c r="AM91" s="5">
        <v>18.172328715126199</v>
      </c>
      <c r="AN91" s="5">
        <v>18.314670715505802</v>
      </c>
      <c r="AO91" s="5">
        <v>18.124881381666299</v>
      </c>
      <c r="AP91" s="5">
        <v>14.0633896375024</v>
      </c>
      <c r="AQ91" s="5">
        <v>8.7018409565382395</v>
      </c>
      <c r="AR91" s="5">
        <v>3.72936040994496</v>
      </c>
      <c r="AS91" s="5">
        <v>0.82558360220155602</v>
      </c>
    </row>
    <row r="92" spans="1:45" x14ac:dyDescent="0.25">
      <c r="A92" t="s">
        <v>253</v>
      </c>
      <c r="B92" t="s">
        <v>254</v>
      </c>
      <c r="C92" t="s">
        <v>141</v>
      </c>
      <c r="D92">
        <v>19.03</v>
      </c>
      <c r="E92" s="2">
        <f t="shared" si="12"/>
        <v>1344.6598000000001</v>
      </c>
      <c r="F92">
        <v>33.729999999999997</v>
      </c>
      <c r="G92" s="2">
        <f t="shared" si="13"/>
        <v>2383.3617999999997</v>
      </c>
      <c r="H92">
        <v>25.98</v>
      </c>
      <c r="I92" s="2">
        <f t="shared" si="14"/>
        <v>1835.7467999999999</v>
      </c>
      <c r="J92">
        <v>12.61</v>
      </c>
      <c r="K92" s="2">
        <f t="shared" si="15"/>
        <v>891.0225999999999</v>
      </c>
      <c r="L92">
        <v>6.75</v>
      </c>
      <c r="M92" s="2">
        <f t="shared" si="16"/>
        <v>476.95499999999998</v>
      </c>
      <c r="N92">
        <v>0.48</v>
      </c>
      <c r="O92" s="2">
        <f t="shared" si="17"/>
        <v>33.916799999999995</v>
      </c>
      <c r="P92">
        <v>0.96</v>
      </c>
      <c r="Q92" s="2">
        <f t="shared" si="18"/>
        <v>67.83359999999999</v>
      </c>
      <c r="R92">
        <v>0.45</v>
      </c>
      <c r="S92" s="3">
        <f t="shared" si="19"/>
        <v>31.797000000000004</v>
      </c>
      <c r="T92" t="s">
        <v>142</v>
      </c>
      <c r="U92" s="4">
        <f t="shared" si="20"/>
        <v>7065.2933999999996</v>
      </c>
      <c r="V92" s="4">
        <f t="shared" si="21"/>
        <v>-0.7066000000004351</v>
      </c>
      <c r="W92">
        <v>7066</v>
      </c>
      <c r="X92">
        <v>3575</v>
      </c>
      <c r="Y92">
        <v>3491</v>
      </c>
      <c r="Z92">
        <v>225</v>
      </c>
      <c r="AA92">
        <v>1047</v>
      </c>
      <c r="AB92">
        <v>1247</v>
      </c>
      <c r="AC92">
        <v>1146</v>
      </c>
      <c r="AD92">
        <v>1309</v>
      </c>
      <c r="AE92">
        <v>1101</v>
      </c>
      <c r="AF92">
        <v>606</v>
      </c>
      <c r="AG92">
        <v>312</v>
      </c>
      <c r="AH92">
        <v>73</v>
      </c>
      <c r="AI92" s="5">
        <v>50.594395697707299</v>
      </c>
      <c r="AJ92" s="5">
        <v>49.405604302292701</v>
      </c>
      <c r="AK92" s="5">
        <v>3.1842626662892699</v>
      </c>
      <c r="AL92" s="5">
        <v>14.817435607132699</v>
      </c>
      <c r="AM92" s="5">
        <v>17.647891310500999</v>
      </c>
      <c r="AN92" s="5">
        <v>16.218511180299998</v>
      </c>
      <c r="AO92" s="5">
        <v>18.5253325785451</v>
      </c>
      <c r="AP92" s="5">
        <v>15.5816586470422</v>
      </c>
      <c r="AQ92" s="5">
        <v>8.5762807812057709</v>
      </c>
      <c r="AR92" s="5">
        <v>4.4155108972544603</v>
      </c>
      <c r="AS92" s="5">
        <v>1.0331163317294101</v>
      </c>
    </row>
    <row r="93" spans="1:45" x14ac:dyDescent="0.25">
      <c r="A93" t="s">
        <v>255</v>
      </c>
      <c r="B93" t="s">
        <v>256</v>
      </c>
      <c r="C93" t="s">
        <v>75</v>
      </c>
      <c r="D93">
        <v>27.45</v>
      </c>
      <c r="E93" s="2">
        <f t="shared" si="12"/>
        <v>53174.767500000002</v>
      </c>
      <c r="F93">
        <v>18.32</v>
      </c>
      <c r="G93" s="2">
        <f t="shared" si="13"/>
        <v>35488.588000000003</v>
      </c>
      <c r="H93">
        <v>25.88</v>
      </c>
      <c r="I93" s="2">
        <f t="shared" si="14"/>
        <v>50133.442000000003</v>
      </c>
      <c r="J93">
        <v>14.37</v>
      </c>
      <c r="K93" s="2">
        <f t="shared" si="15"/>
        <v>27836.845499999999</v>
      </c>
      <c r="L93">
        <v>10.78</v>
      </c>
      <c r="M93" s="2">
        <f t="shared" si="16"/>
        <v>20882.476999999999</v>
      </c>
      <c r="N93">
        <v>1.28</v>
      </c>
      <c r="O93" s="2">
        <f t="shared" si="17"/>
        <v>2479.5520000000001</v>
      </c>
      <c r="P93">
        <v>1.3</v>
      </c>
      <c r="Q93" s="2">
        <f t="shared" si="18"/>
        <v>2518.2950000000001</v>
      </c>
      <c r="R93">
        <v>0.62</v>
      </c>
      <c r="S93" s="3">
        <f t="shared" si="19"/>
        <v>1201.0330000000001</v>
      </c>
      <c r="T93" t="s">
        <v>76</v>
      </c>
      <c r="U93" s="4">
        <f t="shared" si="20"/>
        <v>193715</v>
      </c>
      <c r="V93" s="4">
        <f t="shared" si="21"/>
        <v>0</v>
      </c>
      <c r="W93">
        <v>193715</v>
      </c>
      <c r="X93">
        <v>99823</v>
      </c>
      <c r="Y93">
        <v>93892</v>
      </c>
      <c r="Z93">
        <v>6550</v>
      </c>
      <c r="AA93">
        <v>33760</v>
      </c>
      <c r="AB93">
        <v>39360</v>
      </c>
      <c r="AC93">
        <v>33584</v>
      </c>
      <c r="AD93">
        <v>30708</v>
      </c>
      <c r="AE93">
        <v>26079</v>
      </c>
      <c r="AF93">
        <v>15795</v>
      </c>
      <c r="AG93">
        <v>6555</v>
      </c>
      <c r="AH93">
        <v>1324</v>
      </c>
      <c r="AI93" s="5">
        <v>51.5308571871048</v>
      </c>
      <c r="AJ93" s="5">
        <v>48.4691428128952</v>
      </c>
      <c r="AK93" s="5">
        <v>3.3812559688201702</v>
      </c>
      <c r="AL93" s="5">
        <v>17.427664352270099</v>
      </c>
      <c r="AM93" s="5">
        <v>20.318509150040001</v>
      </c>
      <c r="AN93" s="5">
        <v>17.336809230054499</v>
      </c>
      <c r="AO93" s="5">
        <v>15.8521539374855</v>
      </c>
      <c r="AP93" s="5">
        <v>13.4625609787575</v>
      </c>
      <c r="AQ93" s="5">
        <v>8.1537309965671199</v>
      </c>
      <c r="AR93" s="5">
        <v>3.3838370802467499</v>
      </c>
      <c r="AS93" s="5">
        <v>0.68347830575846003</v>
      </c>
    </row>
    <row r="94" spans="1:45" x14ac:dyDescent="0.25">
      <c r="A94" t="s">
        <v>257</v>
      </c>
      <c r="B94" t="s">
        <v>258</v>
      </c>
      <c r="C94" t="s">
        <v>81</v>
      </c>
      <c r="D94">
        <v>17.13</v>
      </c>
      <c r="E94" s="2">
        <f t="shared" si="12"/>
        <v>2331.0503999999996</v>
      </c>
      <c r="F94">
        <v>35.17</v>
      </c>
      <c r="G94" s="2">
        <f t="shared" si="13"/>
        <v>4785.9336000000003</v>
      </c>
      <c r="H94">
        <v>25.83</v>
      </c>
      <c r="I94" s="2">
        <f t="shared" si="14"/>
        <v>3514.9463999999994</v>
      </c>
      <c r="J94">
        <v>11.83</v>
      </c>
      <c r="K94" s="2">
        <f t="shared" si="15"/>
        <v>1609.8264000000001</v>
      </c>
      <c r="L94">
        <v>7.6</v>
      </c>
      <c r="M94" s="2">
        <f t="shared" si="16"/>
        <v>1034.2079999999999</v>
      </c>
      <c r="N94">
        <v>0.77</v>
      </c>
      <c r="O94" s="2">
        <f t="shared" si="17"/>
        <v>104.7816</v>
      </c>
      <c r="P94">
        <v>1.05</v>
      </c>
      <c r="Q94" s="2">
        <f t="shared" si="18"/>
        <v>142.88400000000001</v>
      </c>
      <c r="R94">
        <v>0.63</v>
      </c>
      <c r="S94" s="3">
        <f t="shared" si="19"/>
        <v>85.730400000000003</v>
      </c>
      <c r="T94" t="s">
        <v>82</v>
      </c>
      <c r="U94" s="4">
        <f t="shared" si="20"/>
        <v>13609.3608</v>
      </c>
      <c r="V94" s="4">
        <f t="shared" si="21"/>
        <v>1.3608000000003813</v>
      </c>
      <c r="W94">
        <v>13608</v>
      </c>
      <c r="X94">
        <v>6968</v>
      </c>
      <c r="Y94">
        <v>6640</v>
      </c>
      <c r="Z94">
        <v>383</v>
      </c>
      <c r="AA94">
        <v>2027</v>
      </c>
      <c r="AB94">
        <v>2421</v>
      </c>
      <c r="AC94">
        <v>2095</v>
      </c>
      <c r="AD94">
        <v>2534</v>
      </c>
      <c r="AE94">
        <v>2162</v>
      </c>
      <c r="AF94">
        <v>1255</v>
      </c>
      <c r="AG94">
        <v>603</v>
      </c>
      <c r="AH94">
        <v>128</v>
      </c>
      <c r="AI94" s="5">
        <v>51.2051734273956</v>
      </c>
      <c r="AJ94" s="5">
        <v>48.7948265726044</v>
      </c>
      <c r="AK94" s="5">
        <v>2.8145208700764299</v>
      </c>
      <c r="AL94" s="5">
        <v>14.895649617871801</v>
      </c>
      <c r="AM94" s="5">
        <v>17.791005291005298</v>
      </c>
      <c r="AN94" s="5">
        <v>15.3953556731335</v>
      </c>
      <c r="AO94" s="5">
        <v>18.6213991769547</v>
      </c>
      <c r="AP94" s="5">
        <v>15.8877131099353</v>
      </c>
      <c r="AQ94" s="5">
        <v>9.2225161669606095</v>
      </c>
      <c r="AR94" s="5">
        <v>4.4312169312169303</v>
      </c>
      <c r="AS94" s="5">
        <v>0.94062316284538505</v>
      </c>
    </row>
    <row r="95" spans="1:45" x14ac:dyDescent="0.25">
      <c r="A95" t="s">
        <v>259</v>
      </c>
      <c r="B95" t="s">
        <v>260</v>
      </c>
      <c r="C95" t="s">
        <v>81</v>
      </c>
      <c r="D95">
        <v>19.38</v>
      </c>
      <c r="E95" s="2">
        <f t="shared" si="12"/>
        <v>881.98379999999986</v>
      </c>
      <c r="F95">
        <v>30.93</v>
      </c>
      <c r="G95" s="2">
        <f t="shared" si="13"/>
        <v>1407.6242999999999</v>
      </c>
      <c r="H95">
        <v>25.71</v>
      </c>
      <c r="I95" s="2">
        <f t="shared" si="14"/>
        <v>1170.0621000000001</v>
      </c>
      <c r="J95">
        <v>15.59</v>
      </c>
      <c r="K95" s="2">
        <f t="shared" si="15"/>
        <v>709.5009</v>
      </c>
      <c r="L95">
        <v>6.56</v>
      </c>
      <c r="M95" s="2">
        <f t="shared" si="16"/>
        <v>298.54559999999998</v>
      </c>
      <c r="N95">
        <v>0.62</v>
      </c>
      <c r="O95" s="2">
        <f t="shared" si="17"/>
        <v>28.216200000000001</v>
      </c>
      <c r="P95">
        <v>0.91</v>
      </c>
      <c r="Q95" s="2">
        <f t="shared" si="18"/>
        <v>41.414099999999998</v>
      </c>
      <c r="R95">
        <v>0.28999999999999998</v>
      </c>
      <c r="S95" s="3">
        <f t="shared" si="19"/>
        <v>13.197899999999999</v>
      </c>
      <c r="T95" t="s">
        <v>82</v>
      </c>
      <c r="U95" s="4">
        <f t="shared" si="20"/>
        <v>4550.5448999999999</v>
      </c>
      <c r="V95" s="4">
        <f t="shared" si="21"/>
        <v>-0.45510000000012951</v>
      </c>
      <c r="W95">
        <v>4551</v>
      </c>
      <c r="X95">
        <v>2221</v>
      </c>
      <c r="Y95">
        <v>2330</v>
      </c>
      <c r="Z95">
        <v>102</v>
      </c>
      <c r="AA95">
        <v>528</v>
      </c>
      <c r="AB95">
        <v>772</v>
      </c>
      <c r="AC95">
        <v>680</v>
      </c>
      <c r="AD95">
        <v>849</v>
      </c>
      <c r="AE95">
        <v>755</v>
      </c>
      <c r="AF95">
        <v>547</v>
      </c>
      <c r="AG95">
        <v>267</v>
      </c>
      <c r="AH95">
        <v>51</v>
      </c>
      <c r="AI95" s="5">
        <v>48.802460997582898</v>
      </c>
      <c r="AJ95" s="5">
        <v>51.197539002417003</v>
      </c>
      <c r="AK95" s="5">
        <v>2.2412656558998001</v>
      </c>
      <c r="AL95" s="5">
        <v>11.6018457481872</v>
      </c>
      <c r="AM95" s="5">
        <v>16.963304768182802</v>
      </c>
      <c r="AN95" s="5">
        <v>14.941771039332</v>
      </c>
      <c r="AO95" s="5">
        <v>18.655240606460101</v>
      </c>
      <c r="AP95" s="5">
        <v>16.589760492199499</v>
      </c>
      <c r="AQ95" s="5">
        <v>12.019336409580299</v>
      </c>
      <c r="AR95" s="5">
        <v>5.86684245220831</v>
      </c>
      <c r="AS95" s="5">
        <v>1.1206328279499</v>
      </c>
    </row>
    <row r="96" spans="1:45" x14ac:dyDescent="0.25">
      <c r="A96" t="s">
        <v>261</v>
      </c>
      <c r="B96" t="s">
        <v>262</v>
      </c>
      <c r="C96" t="s">
        <v>81</v>
      </c>
      <c r="D96">
        <v>14.57</v>
      </c>
      <c r="E96" s="2">
        <f t="shared" si="12"/>
        <v>25895.115300000001</v>
      </c>
      <c r="F96">
        <v>32.26</v>
      </c>
      <c r="G96" s="2">
        <f t="shared" si="13"/>
        <v>57335.375399999997</v>
      </c>
      <c r="H96">
        <v>25.7</v>
      </c>
      <c r="I96" s="2">
        <f t="shared" si="14"/>
        <v>45676.352999999996</v>
      </c>
      <c r="J96">
        <v>16.100000000000001</v>
      </c>
      <c r="K96" s="2">
        <f t="shared" si="15"/>
        <v>28614.369000000002</v>
      </c>
      <c r="L96">
        <v>9.1300000000000008</v>
      </c>
      <c r="M96" s="2">
        <f t="shared" si="16"/>
        <v>16226.657700000003</v>
      </c>
      <c r="N96">
        <v>0.91</v>
      </c>
      <c r="O96" s="2">
        <f t="shared" si="17"/>
        <v>1617.3339000000001</v>
      </c>
      <c r="P96">
        <v>0.86</v>
      </c>
      <c r="Q96" s="2">
        <f t="shared" si="18"/>
        <v>1528.4694</v>
      </c>
      <c r="R96">
        <v>0.46</v>
      </c>
      <c r="S96" s="3">
        <f t="shared" si="19"/>
        <v>817.55340000000001</v>
      </c>
      <c r="T96" t="s">
        <v>82</v>
      </c>
      <c r="U96" s="4">
        <f t="shared" si="20"/>
        <v>177711.22709999999</v>
      </c>
      <c r="V96" s="4">
        <f t="shared" si="21"/>
        <v>-17.77290000001085</v>
      </c>
      <c r="W96">
        <v>177729</v>
      </c>
      <c r="X96">
        <v>91904</v>
      </c>
      <c r="Y96">
        <v>85825</v>
      </c>
      <c r="Z96">
        <v>6184</v>
      </c>
      <c r="AA96">
        <v>30072</v>
      </c>
      <c r="AB96">
        <v>34657</v>
      </c>
      <c r="AC96">
        <v>29396</v>
      </c>
      <c r="AD96">
        <v>31041</v>
      </c>
      <c r="AE96">
        <v>24499</v>
      </c>
      <c r="AF96">
        <v>14205</v>
      </c>
      <c r="AG96">
        <v>6423</v>
      </c>
      <c r="AH96">
        <v>1252</v>
      </c>
      <c r="AI96" s="5">
        <v>51.710187982827797</v>
      </c>
      <c r="AJ96" s="5">
        <v>48.289812017172203</v>
      </c>
      <c r="AK96" s="5">
        <v>3.4794546753765601</v>
      </c>
      <c r="AL96" s="5">
        <v>16.920142464088599</v>
      </c>
      <c r="AM96" s="5">
        <v>19.4999127885714</v>
      </c>
      <c r="AN96" s="5">
        <v>16.539788104361101</v>
      </c>
      <c r="AO96" s="5">
        <v>17.4653545566565</v>
      </c>
      <c r="AP96" s="5">
        <v>13.7844696138503</v>
      </c>
      <c r="AQ96" s="5">
        <v>7.99250544368111</v>
      </c>
      <c r="AR96" s="5">
        <v>3.61392907178907</v>
      </c>
      <c r="AS96" s="5">
        <v>0.70444328162539604</v>
      </c>
    </row>
    <row r="97" spans="1:45" x14ac:dyDescent="0.25">
      <c r="A97" t="s">
        <v>263</v>
      </c>
      <c r="B97" t="s">
        <v>264</v>
      </c>
      <c r="C97" t="s">
        <v>93</v>
      </c>
      <c r="D97">
        <v>22.39</v>
      </c>
      <c r="E97" s="2">
        <f t="shared" si="12"/>
        <v>839.625</v>
      </c>
      <c r="F97">
        <v>28.94</v>
      </c>
      <c r="G97" s="2">
        <f t="shared" si="13"/>
        <v>1085.25</v>
      </c>
      <c r="H97">
        <v>25.66</v>
      </c>
      <c r="I97" s="2">
        <f t="shared" si="14"/>
        <v>962.25</v>
      </c>
      <c r="J97">
        <v>12.64</v>
      </c>
      <c r="K97" s="2">
        <f t="shared" si="15"/>
        <v>474</v>
      </c>
      <c r="L97">
        <v>7.68</v>
      </c>
      <c r="M97" s="2">
        <f t="shared" si="16"/>
        <v>288</v>
      </c>
      <c r="N97">
        <v>0.86</v>
      </c>
      <c r="O97" s="2">
        <f t="shared" si="17"/>
        <v>32.25</v>
      </c>
      <c r="P97">
        <v>1.24</v>
      </c>
      <c r="Q97" s="2">
        <f t="shared" si="18"/>
        <v>46.5</v>
      </c>
      <c r="R97">
        <v>0.59</v>
      </c>
      <c r="S97" s="3">
        <f t="shared" si="19"/>
        <v>22.125</v>
      </c>
      <c r="T97" t="s">
        <v>94</v>
      </c>
      <c r="U97" s="4">
        <f t="shared" si="20"/>
        <v>3750</v>
      </c>
      <c r="V97" s="4">
        <f t="shared" si="21"/>
        <v>0</v>
      </c>
      <c r="W97">
        <v>3750</v>
      </c>
      <c r="X97">
        <v>1910</v>
      </c>
      <c r="Y97">
        <v>1840</v>
      </c>
      <c r="Z97">
        <v>134</v>
      </c>
      <c r="AA97">
        <v>572</v>
      </c>
      <c r="AB97">
        <v>629</v>
      </c>
      <c r="AC97">
        <v>603</v>
      </c>
      <c r="AD97">
        <v>641</v>
      </c>
      <c r="AE97">
        <v>479</v>
      </c>
      <c r="AF97">
        <v>378</v>
      </c>
      <c r="AG97">
        <v>260</v>
      </c>
      <c r="AH97">
        <v>54</v>
      </c>
      <c r="AI97" s="5">
        <v>50.933333333333302</v>
      </c>
      <c r="AJ97" s="5">
        <v>49.066666666666698</v>
      </c>
      <c r="AK97" s="5">
        <v>3.5733333333333301</v>
      </c>
      <c r="AL97" s="5">
        <v>15.2533333333333</v>
      </c>
      <c r="AM97" s="5">
        <v>16.773333333333301</v>
      </c>
      <c r="AN97" s="5">
        <v>16.079999999999998</v>
      </c>
      <c r="AO97" s="5">
        <v>17.093333333333302</v>
      </c>
      <c r="AP97" s="5">
        <v>12.7733333333333</v>
      </c>
      <c r="AQ97" s="5">
        <v>10.08</v>
      </c>
      <c r="AR97" s="5">
        <v>6.93333333333333</v>
      </c>
      <c r="AS97" s="5">
        <v>1.44</v>
      </c>
    </row>
    <row r="98" spans="1:45" x14ac:dyDescent="0.25">
      <c r="A98" t="s">
        <v>265</v>
      </c>
      <c r="B98" t="s">
        <v>266</v>
      </c>
      <c r="C98" t="s">
        <v>147</v>
      </c>
      <c r="D98">
        <v>19.329999999999998</v>
      </c>
      <c r="E98" s="2">
        <f t="shared" si="12"/>
        <v>7820.1448</v>
      </c>
      <c r="F98">
        <v>32.44</v>
      </c>
      <c r="G98" s="2">
        <f t="shared" si="13"/>
        <v>13123.926399999998</v>
      </c>
      <c r="H98">
        <v>25.63</v>
      </c>
      <c r="I98" s="2">
        <f t="shared" si="14"/>
        <v>10368.872799999999</v>
      </c>
      <c r="J98">
        <v>12.51</v>
      </c>
      <c r="K98" s="2">
        <f t="shared" si="15"/>
        <v>5061.0456000000004</v>
      </c>
      <c r="L98">
        <v>7.55</v>
      </c>
      <c r="M98" s="2">
        <f t="shared" si="16"/>
        <v>3054.4279999999999</v>
      </c>
      <c r="N98">
        <v>0.78</v>
      </c>
      <c r="O98" s="2">
        <f t="shared" si="17"/>
        <v>315.55680000000001</v>
      </c>
      <c r="P98">
        <v>1.39</v>
      </c>
      <c r="Q98" s="2">
        <f t="shared" si="18"/>
        <v>562.33839999999998</v>
      </c>
      <c r="R98">
        <v>0.39</v>
      </c>
      <c r="S98" s="3">
        <f t="shared" si="19"/>
        <v>157.7784</v>
      </c>
      <c r="T98" t="s">
        <v>148</v>
      </c>
      <c r="U98" s="4">
        <f t="shared" si="20"/>
        <v>40464.091199999995</v>
      </c>
      <c r="V98" s="4">
        <f t="shared" si="21"/>
        <v>8.0911999999952968</v>
      </c>
      <c r="W98">
        <v>40456</v>
      </c>
      <c r="X98">
        <v>20177</v>
      </c>
      <c r="Y98">
        <v>20279</v>
      </c>
      <c r="Z98">
        <v>1261</v>
      </c>
      <c r="AA98">
        <v>6300</v>
      </c>
      <c r="AB98">
        <v>7512</v>
      </c>
      <c r="AC98">
        <v>6293</v>
      </c>
      <c r="AD98">
        <v>7412</v>
      </c>
      <c r="AE98">
        <v>6153</v>
      </c>
      <c r="AF98">
        <v>3739</v>
      </c>
      <c r="AG98">
        <v>1533</v>
      </c>
      <c r="AH98">
        <v>253</v>
      </c>
      <c r="AI98" s="5">
        <v>49.873937116867701</v>
      </c>
      <c r="AJ98" s="5">
        <v>50.126062883132299</v>
      </c>
      <c r="AK98" s="5">
        <v>3.1169665809768601</v>
      </c>
      <c r="AL98" s="5">
        <v>15.572473798694899</v>
      </c>
      <c r="AM98" s="5">
        <v>18.5683211390152</v>
      </c>
      <c r="AN98" s="5">
        <v>15.555171050029699</v>
      </c>
      <c r="AO98" s="5">
        <v>18.3211390152264</v>
      </c>
      <c r="AP98" s="5">
        <v>15.2091160767253</v>
      </c>
      <c r="AQ98" s="5">
        <v>9.2421396084635195</v>
      </c>
      <c r="AR98" s="5">
        <v>3.7893019576824201</v>
      </c>
      <c r="AS98" s="5">
        <v>0.62537077318568302</v>
      </c>
    </row>
    <row r="99" spans="1:45" x14ac:dyDescent="0.25">
      <c r="A99" t="s">
        <v>267</v>
      </c>
      <c r="B99" t="s">
        <v>268</v>
      </c>
      <c r="C99" t="s">
        <v>113</v>
      </c>
      <c r="D99">
        <v>29.01</v>
      </c>
      <c r="E99" s="2">
        <f t="shared" si="12"/>
        <v>4216.0232999999998</v>
      </c>
      <c r="F99">
        <v>21.52</v>
      </c>
      <c r="G99" s="2">
        <f t="shared" si="13"/>
        <v>3127.5015999999996</v>
      </c>
      <c r="H99">
        <v>25.58</v>
      </c>
      <c r="I99" s="2">
        <f t="shared" si="14"/>
        <v>3717.5413999999996</v>
      </c>
      <c r="J99">
        <v>12.74</v>
      </c>
      <c r="K99" s="2">
        <f t="shared" si="15"/>
        <v>1851.5042000000001</v>
      </c>
      <c r="L99">
        <v>8.1300000000000008</v>
      </c>
      <c r="M99" s="2">
        <f t="shared" si="16"/>
        <v>1181.5329000000002</v>
      </c>
      <c r="N99">
        <v>1.19</v>
      </c>
      <c r="O99" s="2">
        <f t="shared" si="17"/>
        <v>172.9427</v>
      </c>
      <c r="P99">
        <v>1.34</v>
      </c>
      <c r="Q99" s="2">
        <f t="shared" si="18"/>
        <v>194.74220000000003</v>
      </c>
      <c r="R99">
        <v>0.5</v>
      </c>
      <c r="S99" s="3">
        <f t="shared" si="19"/>
        <v>72.665000000000006</v>
      </c>
      <c r="T99" t="s">
        <v>114</v>
      </c>
      <c r="U99" s="4">
        <f t="shared" si="20"/>
        <v>14534.453300000001</v>
      </c>
      <c r="V99" s="4">
        <f t="shared" si="21"/>
        <v>1.4533000000010361</v>
      </c>
      <c r="W99">
        <v>14533</v>
      </c>
      <c r="X99">
        <v>7375</v>
      </c>
      <c r="Y99">
        <v>7158</v>
      </c>
      <c r="Z99">
        <v>415</v>
      </c>
      <c r="AA99">
        <v>2249</v>
      </c>
      <c r="AB99">
        <v>2586</v>
      </c>
      <c r="AC99">
        <v>2237</v>
      </c>
      <c r="AD99">
        <v>2468</v>
      </c>
      <c r="AE99">
        <v>2287</v>
      </c>
      <c r="AF99">
        <v>1420</v>
      </c>
      <c r="AG99">
        <v>722</v>
      </c>
      <c r="AH99">
        <v>149</v>
      </c>
      <c r="AI99" s="5">
        <v>50.746576756347601</v>
      </c>
      <c r="AJ99" s="5">
        <v>49.253423243652399</v>
      </c>
      <c r="AK99" s="5">
        <v>2.8555700818826102</v>
      </c>
      <c r="AL99" s="5">
        <v>15.475125576274699</v>
      </c>
      <c r="AM99" s="5">
        <v>17.793986100598602</v>
      </c>
      <c r="AN99" s="5">
        <v>15.3925548751118</v>
      </c>
      <c r="AO99" s="5">
        <v>16.982040872497102</v>
      </c>
      <c r="AP99" s="5">
        <v>15.7365994632904</v>
      </c>
      <c r="AQ99" s="5">
        <v>9.7708663042730297</v>
      </c>
      <c r="AR99" s="5">
        <v>4.9680038532993898</v>
      </c>
      <c r="AS99" s="5">
        <v>1.02525287277231</v>
      </c>
    </row>
    <row r="100" spans="1:45" x14ac:dyDescent="0.25">
      <c r="A100" t="s">
        <v>269</v>
      </c>
      <c r="B100" t="s">
        <v>270</v>
      </c>
      <c r="C100" t="s">
        <v>207</v>
      </c>
      <c r="D100">
        <v>17.850000000000001</v>
      </c>
      <c r="E100" s="2">
        <f t="shared" si="12"/>
        <v>2690.5305000000003</v>
      </c>
      <c r="F100">
        <v>35.72</v>
      </c>
      <c r="G100" s="2">
        <f t="shared" si="13"/>
        <v>5384.0755999999992</v>
      </c>
      <c r="H100">
        <v>25.58</v>
      </c>
      <c r="I100" s="2">
        <f t="shared" si="14"/>
        <v>3855.6733999999997</v>
      </c>
      <c r="J100">
        <v>11.89</v>
      </c>
      <c r="K100" s="2">
        <f t="shared" si="15"/>
        <v>1792.1796999999999</v>
      </c>
      <c r="L100">
        <v>6.84</v>
      </c>
      <c r="M100" s="2">
        <f t="shared" si="16"/>
        <v>1030.9931999999999</v>
      </c>
      <c r="N100">
        <v>0.71</v>
      </c>
      <c r="O100" s="2">
        <f t="shared" si="17"/>
        <v>107.0183</v>
      </c>
      <c r="P100">
        <v>0.98</v>
      </c>
      <c r="Q100" s="2">
        <f t="shared" si="18"/>
        <v>147.71539999999999</v>
      </c>
      <c r="R100">
        <v>0.43</v>
      </c>
      <c r="S100" s="3">
        <f t="shared" si="19"/>
        <v>64.813900000000004</v>
      </c>
      <c r="T100" t="s">
        <v>208</v>
      </c>
      <c r="U100" s="4">
        <f t="shared" si="20"/>
        <v>15073</v>
      </c>
      <c r="V100" s="4">
        <f t="shared" si="21"/>
        <v>0</v>
      </c>
      <c r="W100">
        <v>15073</v>
      </c>
      <c r="X100">
        <v>7630</v>
      </c>
      <c r="Y100">
        <v>7443</v>
      </c>
      <c r="Z100">
        <v>424</v>
      </c>
      <c r="AA100">
        <v>2192</v>
      </c>
      <c r="AB100">
        <v>2549</v>
      </c>
      <c r="AC100">
        <v>2378</v>
      </c>
      <c r="AD100">
        <v>2681</v>
      </c>
      <c r="AE100">
        <v>2522</v>
      </c>
      <c r="AF100">
        <v>1507</v>
      </c>
      <c r="AG100">
        <v>668</v>
      </c>
      <c r="AH100">
        <v>152</v>
      </c>
      <c r="AI100" s="5">
        <v>50.620314469581402</v>
      </c>
      <c r="AJ100" s="5">
        <v>49.379685530418598</v>
      </c>
      <c r="AK100" s="5">
        <v>2.8129768460160598</v>
      </c>
      <c r="AL100" s="5">
        <v>14.542559543554701</v>
      </c>
      <c r="AM100" s="5">
        <v>16.911032972865399</v>
      </c>
      <c r="AN100" s="5">
        <v>15.776554103363599</v>
      </c>
      <c r="AO100" s="5">
        <v>17.7867710475685</v>
      </c>
      <c r="AP100" s="5">
        <v>16.7319047303125</v>
      </c>
      <c r="AQ100" s="5">
        <v>9.9980096861938605</v>
      </c>
      <c r="AR100" s="5">
        <v>4.4317654083460498</v>
      </c>
      <c r="AS100" s="5">
        <v>1.0084256617793399</v>
      </c>
    </row>
    <row r="101" spans="1:45" x14ac:dyDescent="0.25">
      <c r="A101" t="s">
        <v>271</v>
      </c>
      <c r="B101" t="s">
        <v>272</v>
      </c>
      <c r="C101" t="s">
        <v>199</v>
      </c>
      <c r="D101">
        <v>18.559999999999999</v>
      </c>
      <c r="E101" s="2">
        <f t="shared" si="12"/>
        <v>1428.5631999999998</v>
      </c>
      <c r="F101">
        <v>29.48</v>
      </c>
      <c r="G101" s="2">
        <f t="shared" si="13"/>
        <v>2269.0756000000001</v>
      </c>
      <c r="H101">
        <v>25.58</v>
      </c>
      <c r="I101" s="2">
        <f t="shared" si="14"/>
        <v>1968.8925999999999</v>
      </c>
      <c r="J101">
        <v>15.96</v>
      </c>
      <c r="K101" s="2">
        <f t="shared" si="15"/>
        <v>1228.4412000000002</v>
      </c>
      <c r="L101">
        <v>8</v>
      </c>
      <c r="M101" s="2">
        <f t="shared" si="16"/>
        <v>615.76</v>
      </c>
      <c r="N101">
        <v>0.91</v>
      </c>
      <c r="O101" s="2">
        <f t="shared" si="17"/>
        <v>70.042700000000011</v>
      </c>
      <c r="P101">
        <v>0.96</v>
      </c>
      <c r="Q101" s="2">
        <f t="shared" si="18"/>
        <v>73.891199999999998</v>
      </c>
      <c r="R101">
        <v>0.55000000000000004</v>
      </c>
      <c r="S101" s="3">
        <f t="shared" si="19"/>
        <v>42.333500000000001</v>
      </c>
      <c r="T101" t="s">
        <v>200</v>
      </c>
      <c r="U101" s="4">
        <f t="shared" si="20"/>
        <v>7697</v>
      </c>
      <c r="V101" s="4">
        <f t="shared" si="21"/>
        <v>0</v>
      </c>
      <c r="W101">
        <v>7697</v>
      </c>
      <c r="X101">
        <v>3890</v>
      </c>
      <c r="Y101">
        <v>3807</v>
      </c>
      <c r="Z101">
        <v>233</v>
      </c>
      <c r="AA101">
        <v>1061</v>
      </c>
      <c r="AB101">
        <v>1451</v>
      </c>
      <c r="AC101">
        <v>1168</v>
      </c>
      <c r="AD101">
        <v>1302</v>
      </c>
      <c r="AE101">
        <v>1242</v>
      </c>
      <c r="AF101">
        <v>781</v>
      </c>
      <c r="AG101">
        <v>391</v>
      </c>
      <c r="AH101">
        <v>68</v>
      </c>
      <c r="AI101" s="5">
        <v>50.539171105625599</v>
      </c>
      <c r="AJ101" s="5">
        <v>49.460828894374401</v>
      </c>
      <c r="AK101" s="5">
        <v>3.0271534364037902</v>
      </c>
      <c r="AL101" s="5">
        <v>13.7845913992465</v>
      </c>
      <c r="AM101" s="5">
        <v>18.8515005846434</v>
      </c>
      <c r="AN101" s="5">
        <v>15.174743406521999</v>
      </c>
      <c r="AO101" s="5">
        <v>16.915681434325101</v>
      </c>
      <c r="AP101" s="5">
        <v>16.136156944263998</v>
      </c>
      <c r="AQ101" s="5">
        <v>10.1468104456282</v>
      </c>
      <c r="AR101" s="5">
        <v>5.0799012602312601</v>
      </c>
      <c r="AS101" s="5">
        <v>0.88346108873587104</v>
      </c>
    </row>
    <row r="102" spans="1:45" x14ac:dyDescent="0.25">
      <c r="A102" t="s">
        <v>273</v>
      </c>
      <c r="B102" t="s">
        <v>274</v>
      </c>
      <c r="C102" t="s">
        <v>81</v>
      </c>
      <c r="D102">
        <v>19.97</v>
      </c>
      <c r="E102" s="2">
        <f t="shared" si="12"/>
        <v>4442.3264999999992</v>
      </c>
      <c r="F102">
        <v>32.57</v>
      </c>
      <c r="G102" s="2">
        <f t="shared" si="13"/>
        <v>7245.1965</v>
      </c>
      <c r="H102">
        <v>25.56</v>
      </c>
      <c r="I102" s="2">
        <f t="shared" si="14"/>
        <v>5685.8219999999992</v>
      </c>
      <c r="J102">
        <v>12.82</v>
      </c>
      <c r="K102" s="2">
        <f t="shared" si="15"/>
        <v>2851.8090000000002</v>
      </c>
      <c r="L102">
        <v>6.38</v>
      </c>
      <c r="M102" s="2">
        <f t="shared" si="16"/>
        <v>1419.231</v>
      </c>
      <c r="N102">
        <v>0.8</v>
      </c>
      <c r="O102" s="2">
        <f t="shared" si="17"/>
        <v>177.96</v>
      </c>
      <c r="P102">
        <v>1.27</v>
      </c>
      <c r="Q102" s="2">
        <f t="shared" si="18"/>
        <v>282.51150000000001</v>
      </c>
      <c r="R102">
        <v>0.64</v>
      </c>
      <c r="S102" s="3">
        <f t="shared" si="19"/>
        <v>142.36800000000002</v>
      </c>
      <c r="T102" t="s">
        <v>82</v>
      </c>
      <c r="U102" s="4">
        <f t="shared" si="20"/>
        <v>22247.2245</v>
      </c>
      <c r="V102" s="4">
        <f t="shared" si="21"/>
        <v>2.2245000000002619</v>
      </c>
      <c r="W102">
        <v>22245</v>
      </c>
      <c r="X102">
        <v>11473</v>
      </c>
      <c r="Y102">
        <v>10772</v>
      </c>
      <c r="Z102">
        <v>731</v>
      </c>
      <c r="AA102">
        <v>3756</v>
      </c>
      <c r="AB102">
        <v>4099</v>
      </c>
      <c r="AC102">
        <v>3696</v>
      </c>
      <c r="AD102">
        <v>4008</v>
      </c>
      <c r="AE102">
        <v>3143</v>
      </c>
      <c r="AF102">
        <v>1893</v>
      </c>
      <c r="AG102">
        <v>766</v>
      </c>
      <c r="AH102">
        <v>153</v>
      </c>
      <c r="AI102" s="5">
        <v>51.575634974151498</v>
      </c>
      <c r="AJ102" s="5">
        <v>48.424365025848502</v>
      </c>
      <c r="AK102" s="5">
        <v>3.2861317149921301</v>
      </c>
      <c r="AL102" s="5">
        <v>16.884693189480799</v>
      </c>
      <c r="AM102" s="5">
        <v>18.426612721960002</v>
      </c>
      <c r="AN102" s="5">
        <v>16.614969656102499</v>
      </c>
      <c r="AO102" s="5">
        <v>18.017532029669599</v>
      </c>
      <c r="AP102" s="5">
        <v>14.1290177567993</v>
      </c>
      <c r="AQ102" s="5">
        <v>8.5097774780849598</v>
      </c>
      <c r="AR102" s="5">
        <v>3.44347044279613</v>
      </c>
      <c r="AS102" s="5">
        <v>0.68779501011463295</v>
      </c>
    </row>
    <row r="103" spans="1:45" x14ac:dyDescent="0.25">
      <c r="A103" t="s">
        <v>275</v>
      </c>
      <c r="B103" t="s">
        <v>276</v>
      </c>
      <c r="C103" t="s">
        <v>93</v>
      </c>
      <c r="D103">
        <v>19.93</v>
      </c>
      <c r="E103" s="2">
        <f t="shared" si="12"/>
        <v>1774.3679000000002</v>
      </c>
      <c r="F103">
        <v>31.75</v>
      </c>
      <c r="G103" s="2">
        <f t="shared" si="13"/>
        <v>2826.7024999999999</v>
      </c>
      <c r="H103">
        <v>25.36</v>
      </c>
      <c r="I103" s="2">
        <f t="shared" si="14"/>
        <v>2257.8008</v>
      </c>
      <c r="J103">
        <v>13.2</v>
      </c>
      <c r="K103" s="2">
        <f t="shared" si="15"/>
        <v>1175.1959999999999</v>
      </c>
      <c r="L103">
        <v>6.89</v>
      </c>
      <c r="M103" s="2">
        <f t="shared" si="16"/>
        <v>613.41669999999999</v>
      </c>
      <c r="N103">
        <v>0.91</v>
      </c>
      <c r="O103" s="2">
        <f t="shared" si="17"/>
        <v>81.017300000000006</v>
      </c>
      <c r="P103">
        <v>1.49</v>
      </c>
      <c r="Q103" s="2">
        <f t="shared" si="18"/>
        <v>132.65469999999999</v>
      </c>
      <c r="R103">
        <v>0.47</v>
      </c>
      <c r="S103" s="3">
        <f t="shared" si="19"/>
        <v>41.844099999999997</v>
      </c>
      <c r="T103" t="s">
        <v>94</v>
      </c>
      <c r="U103" s="4">
        <f t="shared" si="20"/>
        <v>8903</v>
      </c>
      <c r="V103" s="4">
        <f t="shared" si="21"/>
        <v>0</v>
      </c>
      <c r="W103">
        <v>8903</v>
      </c>
      <c r="X103">
        <v>4317</v>
      </c>
      <c r="Y103">
        <v>4586</v>
      </c>
      <c r="Z103">
        <v>244</v>
      </c>
      <c r="AA103">
        <v>1233</v>
      </c>
      <c r="AB103">
        <v>1316</v>
      </c>
      <c r="AC103">
        <v>1328</v>
      </c>
      <c r="AD103">
        <v>1595</v>
      </c>
      <c r="AE103">
        <v>1333</v>
      </c>
      <c r="AF103">
        <v>1046</v>
      </c>
      <c r="AG103">
        <v>696</v>
      </c>
      <c r="AH103">
        <v>112</v>
      </c>
      <c r="AI103" s="5">
        <v>48.489273278670098</v>
      </c>
      <c r="AJ103" s="5">
        <v>51.510726721329902</v>
      </c>
      <c r="AK103" s="5">
        <v>2.74064921936426</v>
      </c>
      <c r="AL103" s="5">
        <v>13.849264292935</v>
      </c>
      <c r="AM103" s="5">
        <v>14.781534314276101</v>
      </c>
      <c r="AN103" s="5">
        <v>14.916320341457901</v>
      </c>
      <c r="AO103" s="5">
        <v>17.915309446254099</v>
      </c>
      <c r="AP103" s="5">
        <v>14.972481186116999</v>
      </c>
      <c r="AQ103" s="5">
        <v>11.7488487026845</v>
      </c>
      <c r="AR103" s="5">
        <v>7.8175895765472303</v>
      </c>
      <c r="AS103" s="5">
        <v>1.25800292036392</v>
      </c>
    </row>
    <row r="104" spans="1:45" x14ac:dyDescent="0.25">
      <c r="A104" t="s">
        <v>277</v>
      </c>
      <c r="B104" t="s">
        <v>278</v>
      </c>
      <c r="C104" t="s">
        <v>141</v>
      </c>
      <c r="D104">
        <v>15.29</v>
      </c>
      <c r="E104" s="2">
        <f t="shared" si="12"/>
        <v>3403.4011</v>
      </c>
      <c r="F104">
        <v>38.659999999999997</v>
      </c>
      <c r="G104" s="2">
        <f t="shared" si="13"/>
        <v>8605.3293999999987</v>
      </c>
      <c r="H104">
        <v>25.21</v>
      </c>
      <c r="I104" s="2">
        <f t="shared" si="14"/>
        <v>5611.4939000000004</v>
      </c>
      <c r="J104">
        <v>13.78</v>
      </c>
      <c r="K104" s="2">
        <f t="shared" si="15"/>
        <v>3067.2901999999995</v>
      </c>
      <c r="L104">
        <v>4.74</v>
      </c>
      <c r="M104" s="2">
        <f t="shared" si="16"/>
        <v>1055.0766000000001</v>
      </c>
      <c r="N104">
        <v>0.61</v>
      </c>
      <c r="O104" s="2">
        <f t="shared" si="17"/>
        <v>135.7799</v>
      </c>
      <c r="P104">
        <v>1.1599999999999999</v>
      </c>
      <c r="Q104" s="2">
        <f t="shared" si="18"/>
        <v>258.20439999999996</v>
      </c>
      <c r="R104">
        <v>0.55000000000000004</v>
      </c>
      <c r="S104" s="3">
        <f t="shared" si="19"/>
        <v>122.42450000000001</v>
      </c>
      <c r="T104" t="s">
        <v>142</v>
      </c>
      <c r="U104" s="4">
        <f t="shared" si="20"/>
        <v>22258.999999999996</v>
      </c>
      <c r="V104" s="4">
        <f t="shared" si="21"/>
        <v>0</v>
      </c>
      <c r="W104">
        <v>22259</v>
      </c>
      <c r="X104">
        <v>11282</v>
      </c>
      <c r="Y104">
        <v>10977</v>
      </c>
      <c r="Z104">
        <v>791</v>
      </c>
      <c r="AA104">
        <v>3660</v>
      </c>
      <c r="AB104">
        <v>4030</v>
      </c>
      <c r="AC104">
        <v>3516</v>
      </c>
      <c r="AD104">
        <v>3880</v>
      </c>
      <c r="AE104">
        <v>3403</v>
      </c>
      <c r="AF104">
        <v>1908</v>
      </c>
      <c r="AG104">
        <v>889</v>
      </c>
      <c r="AH104">
        <v>182</v>
      </c>
      <c r="AI104" s="5">
        <v>50.685116132800196</v>
      </c>
      <c r="AJ104" s="5">
        <v>49.314883867199804</v>
      </c>
      <c r="AK104" s="5">
        <v>3.5536187609506298</v>
      </c>
      <c r="AL104" s="5">
        <v>16.442787187205202</v>
      </c>
      <c r="AM104" s="5">
        <v>18.1050361651467</v>
      </c>
      <c r="AN104" s="5">
        <v>15.795857855249601</v>
      </c>
      <c r="AO104" s="5">
        <v>17.4311514443596</v>
      </c>
      <c r="AP104" s="5">
        <v>15.2881980322566</v>
      </c>
      <c r="AQ104" s="5">
        <v>8.5718136484118794</v>
      </c>
      <c r="AR104" s="5">
        <v>3.99389011186486</v>
      </c>
      <c r="AS104" s="5">
        <v>0.81764679455501199</v>
      </c>
    </row>
    <row r="105" spans="1:45" x14ac:dyDescent="0.25">
      <c r="A105" t="s">
        <v>279</v>
      </c>
      <c r="B105" t="s">
        <v>280</v>
      </c>
      <c r="C105" t="s">
        <v>207</v>
      </c>
      <c r="D105">
        <v>17.12</v>
      </c>
      <c r="E105" s="2">
        <f t="shared" si="12"/>
        <v>1443.5583999999999</v>
      </c>
      <c r="F105">
        <v>32.49</v>
      </c>
      <c r="G105" s="2">
        <f t="shared" si="13"/>
        <v>2739.5567999999998</v>
      </c>
      <c r="H105">
        <v>25.17</v>
      </c>
      <c r="I105" s="2">
        <f t="shared" si="14"/>
        <v>2122.3344000000002</v>
      </c>
      <c r="J105">
        <v>14.55</v>
      </c>
      <c r="K105" s="2">
        <f t="shared" si="15"/>
        <v>1226.856</v>
      </c>
      <c r="L105">
        <v>8.44</v>
      </c>
      <c r="M105" s="2">
        <f t="shared" si="16"/>
        <v>711.66079999999999</v>
      </c>
      <c r="N105">
        <v>0.63</v>
      </c>
      <c r="O105" s="2">
        <f t="shared" si="17"/>
        <v>53.121600000000001</v>
      </c>
      <c r="P105">
        <v>1.04</v>
      </c>
      <c r="Q105" s="2">
        <f t="shared" si="18"/>
        <v>87.692800000000005</v>
      </c>
      <c r="R105">
        <v>0.56999999999999995</v>
      </c>
      <c r="S105" s="3">
        <f t="shared" si="19"/>
        <v>48.062399999999997</v>
      </c>
      <c r="T105" t="s">
        <v>208</v>
      </c>
      <c r="U105" s="4">
        <f t="shared" si="20"/>
        <v>8432.8431999999993</v>
      </c>
      <c r="V105" s="4">
        <f t="shared" si="21"/>
        <v>0.84319999999934225</v>
      </c>
      <c r="W105">
        <v>8432</v>
      </c>
      <c r="X105">
        <v>4200</v>
      </c>
      <c r="Y105">
        <v>4232</v>
      </c>
      <c r="Z105">
        <v>238</v>
      </c>
      <c r="AA105">
        <v>1291</v>
      </c>
      <c r="AB105">
        <v>1434</v>
      </c>
      <c r="AC105">
        <v>1352</v>
      </c>
      <c r="AD105">
        <v>1560</v>
      </c>
      <c r="AE105">
        <v>1369</v>
      </c>
      <c r="AF105">
        <v>740</v>
      </c>
      <c r="AG105">
        <v>376</v>
      </c>
      <c r="AH105">
        <v>72</v>
      </c>
      <c r="AI105" s="5">
        <v>49.810246679316897</v>
      </c>
      <c r="AJ105" s="5">
        <v>50.189753320683103</v>
      </c>
      <c r="AK105" s="5">
        <v>2.82258064516129</v>
      </c>
      <c r="AL105" s="5">
        <v>15.310721062618599</v>
      </c>
      <c r="AM105" s="5">
        <v>17.006641366223899</v>
      </c>
      <c r="AN105" s="5">
        <v>16.034155597723</v>
      </c>
      <c r="AO105" s="5">
        <v>18.5009487666034</v>
      </c>
      <c r="AP105" s="5">
        <v>16.235768500948801</v>
      </c>
      <c r="AQ105" s="5">
        <v>8.7760910815939308</v>
      </c>
      <c r="AR105" s="5">
        <v>4.4592030360531298</v>
      </c>
      <c r="AS105" s="5">
        <v>0.85388994307400401</v>
      </c>
    </row>
    <row r="106" spans="1:45" x14ac:dyDescent="0.25">
      <c r="A106" t="s">
        <v>281</v>
      </c>
      <c r="B106" t="s">
        <v>282</v>
      </c>
      <c r="C106" t="s">
        <v>217</v>
      </c>
      <c r="D106">
        <v>21.32</v>
      </c>
      <c r="E106" s="2">
        <f t="shared" si="12"/>
        <v>2827.8847999999998</v>
      </c>
      <c r="F106">
        <v>26.02</v>
      </c>
      <c r="G106" s="2">
        <f t="shared" si="13"/>
        <v>3451.2927999999997</v>
      </c>
      <c r="H106">
        <v>25.12</v>
      </c>
      <c r="I106" s="2">
        <f t="shared" si="14"/>
        <v>3331.9168</v>
      </c>
      <c r="J106">
        <v>14</v>
      </c>
      <c r="K106" s="2">
        <f t="shared" si="15"/>
        <v>1856.96</v>
      </c>
      <c r="L106">
        <v>10.73</v>
      </c>
      <c r="M106" s="2">
        <f t="shared" si="16"/>
        <v>1423.2272</v>
      </c>
      <c r="N106">
        <v>1.1299999999999999</v>
      </c>
      <c r="O106" s="2">
        <f t="shared" si="17"/>
        <v>149.88319999999999</v>
      </c>
      <c r="P106">
        <v>1.24</v>
      </c>
      <c r="Q106" s="2">
        <f t="shared" si="18"/>
        <v>164.4736</v>
      </c>
      <c r="R106">
        <v>0.46</v>
      </c>
      <c r="S106" s="3">
        <f t="shared" si="19"/>
        <v>61.014400000000002</v>
      </c>
      <c r="T106" t="s">
        <v>218</v>
      </c>
      <c r="U106" s="4">
        <f t="shared" si="20"/>
        <v>13266.6528</v>
      </c>
      <c r="V106" s="4">
        <f t="shared" si="21"/>
        <v>2.6527999999998428</v>
      </c>
      <c r="W106">
        <v>13264</v>
      </c>
      <c r="X106">
        <v>6570</v>
      </c>
      <c r="Y106">
        <v>6694</v>
      </c>
      <c r="Z106">
        <v>413</v>
      </c>
      <c r="AA106">
        <v>2196</v>
      </c>
      <c r="AB106">
        <v>2467</v>
      </c>
      <c r="AC106">
        <v>2272</v>
      </c>
      <c r="AD106">
        <v>2390</v>
      </c>
      <c r="AE106">
        <v>1921</v>
      </c>
      <c r="AF106">
        <v>1096</v>
      </c>
      <c r="AG106">
        <v>423</v>
      </c>
      <c r="AH106">
        <v>86</v>
      </c>
      <c r="AI106" s="5">
        <v>49.532569360675502</v>
      </c>
      <c r="AJ106" s="5">
        <v>50.467430639324498</v>
      </c>
      <c r="AK106" s="5">
        <v>3.1136911942098902</v>
      </c>
      <c r="AL106" s="5">
        <v>16.5560916767189</v>
      </c>
      <c r="AM106" s="5">
        <v>18.599215922798599</v>
      </c>
      <c r="AN106" s="5">
        <v>17.129071170084401</v>
      </c>
      <c r="AO106" s="5">
        <v>18.018697225573</v>
      </c>
      <c r="AP106" s="5">
        <v>14.482810615199</v>
      </c>
      <c r="AQ106" s="5">
        <v>8.2629674306393195</v>
      </c>
      <c r="AR106" s="5">
        <v>3.1890832328106198</v>
      </c>
      <c r="AS106" s="5">
        <v>0.64837153196622399</v>
      </c>
    </row>
    <row r="107" spans="1:45" x14ac:dyDescent="0.25">
      <c r="A107" t="s">
        <v>283</v>
      </c>
      <c r="B107" t="s">
        <v>284</v>
      </c>
      <c r="C107" t="s">
        <v>207</v>
      </c>
      <c r="D107">
        <v>19.45</v>
      </c>
      <c r="E107" s="2">
        <f t="shared" si="12"/>
        <v>4858.8044999999993</v>
      </c>
      <c r="F107">
        <v>28.7</v>
      </c>
      <c r="G107" s="2">
        <f t="shared" si="13"/>
        <v>7169.5469999999996</v>
      </c>
      <c r="H107">
        <v>25.11</v>
      </c>
      <c r="I107" s="2">
        <f t="shared" si="14"/>
        <v>6272.7291000000005</v>
      </c>
      <c r="J107">
        <v>15.39</v>
      </c>
      <c r="K107" s="2">
        <f t="shared" si="15"/>
        <v>3844.5759000000003</v>
      </c>
      <c r="L107">
        <v>8.9600000000000009</v>
      </c>
      <c r="M107" s="2">
        <f t="shared" si="16"/>
        <v>2238.2975999999999</v>
      </c>
      <c r="N107">
        <v>0.93</v>
      </c>
      <c r="O107" s="2">
        <f t="shared" si="17"/>
        <v>232.32330000000002</v>
      </c>
      <c r="P107">
        <v>0.91</v>
      </c>
      <c r="Q107" s="2">
        <f t="shared" si="18"/>
        <v>227.3271</v>
      </c>
      <c r="R107">
        <v>0.55000000000000004</v>
      </c>
      <c r="S107" s="3">
        <f t="shared" si="19"/>
        <v>137.3955</v>
      </c>
      <c r="T107" t="s">
        <v>208</v>
      </c>
      <c r="U107" s="4">
        <f t="shared" si="20"/>
        <v>24981</v>
      </c>
      <c r="V107" s="4">
        <f t="shared" si="21"/>
        <v>0</v>
      </c>
      <c r="W107">
        <v>24981</v>
      </c>
      <c r="X107">
        <v>13241</v>
      </c>
      <c r="Y107">
        <v>11740</v>
      </c>
      <c r="Z107">
        <v>878</v>
      </c>
      <c r="AA107">
        <v>4376</v>
      </c>
      <c r="AB107">
        <v>4614</v>
      </c>
      <c r="AC107">
        <v>4262</v>
      </c>
      <c r="AD107">
        <v>4537</v>
      </c>
      <c r="AE107">
        <v>3402</v>
      </c>
      <c r="AF107">
        <v>1954</v>
      </c>
      <c r="AG107">
        <v>809</v>
      </c>
      <c r="AH107">
        <v>149</v>
      </c>
      <c r="AI107" s="5">
        <v>53.004283255273997</v>
      </c>
      <c r="AJ107" s="5">
        <v>46.995716744726003</v>
      </c>
      <c r="AK107" s="5">
        <v>3.5146711500740602</v>
      </c>
      <c r="AL107" s="5">
        <v>17.5173131580001</v>
      </c>
      <c r="AM107" s="5">
        <v>18.470037228293499</v>
      </c>
      <c r="AN107" s="5">
        <v>17.0609663344142</v>
      </c>
      <c r="AO107" s="5">
        <v>18.161802970257401</v>
      </c>
      <c r="AP107" s="5">
        <v>13.618349945958901</v>
      </c>
      <c r="AQ107" s="5">
        <v>7.8219446779552504</v>
      </c>
      <c r="AR107" s="5">
        <v>3.2384612305352101</v>
      </c>
      <c r="AS107" s="5">
        <v>0.59645330451142897</v>
      </c>
    </row>
    <row r="108" spans="1:45" x14ac:dyDescent="0.25">
      <c r="A108" t="s">
        <v>285</v>
      </c>
      <c r="B108" t="s">
        <v>286</v>
      </c>
      <c r="C108" t="s">
        <v>141</v>
      </c>
      <c r="D108">
        <v>18.87</v>
      </c>
      <c r="E108" s="2">
        <f t="shared" si="12"/>
        <v>12162.2811</v>
      </c>
      <c r="F108">
        <v>31.59</v>
      </c>
      <c r="G108" s="2">
        <f t="shared" si="13"/>
        <v>20360.702700000002</v>
      </c>
      <c r="H108">
        <v>24.97</v>
      </c>
      <c r="I108" s="2">
        <f t="shared" si="14"/>
        <v>16093.9141</v>
      </c>
      <c r="J108">
        <v>12.94</v>
      </c>
      <c r="K108" s="2">
        <f t="shared" si="15"/>
        <v>8340.2181999999993</v>
      </c>
      <c r="L108">
        <v>8.75</v>
      </c>
      <c r="M108" s="2">
        <f t="shared" si="16"/>
        <v>5639.6374999999998</v>
      </c>
      <c r="N108">
        <v>1.01</v>
      </c>
      <c r="O108" s="2">
        <f t="shared" si="17"/>
        <v>650.97529999999995</v>
      </c>
      <c r="P108">
        <v>1.23</v>
      </c>
      <c r="Q108" s="2">
        <f t="shared" si="18"/>
        <v>792.77190000000007</v>
      </c>
      <c r="R108">
        <v>0.64</v>
      </c>
      <c r="S108" s="3">
        <f t="shared" si="19"/>
        <v>412.49919999999997</v>
      </c>
      <c r="T108" t="s">
        <v>142</v>
      </c>
      <c r="U108" s="4">
        <f t="shared" si="20"/>
        <v>64453</v>
      </c>
      <c r="V108" s="4">
        <f t="shared" si="21"/>
        <v>0</v>
      </c>
      <c r="W108">
        <v>64453</v>
      </c>
      <c r="X108">
        <v>33317</v>
      </c>
      <c r="Y108">
        <v>31136</v>
      </c>
      <c r="Z108">
        <v>2348</v>
      </c>
      <c r="AA108">
        <v>11736</v>
      </c>
      <c r="AB108">
        <v>12415</v>
      </c>
      <c r="AC108">
        <v>10729</v>
      </c>
      <c r="AD108">
        <v>11043</v>
      </c>
      <c r="AE108">
        <v>8672</v>
      </c>
      <c r="AF108">
        <v>4959</v>
      </c>
      <c r="AG108">
        <v>2124</v>
      </c>
      <c r="AH108">
        <v>427</v>
      </c>
      <c r="AI108" s="5">
        <v>51.691930554047097</v>
      </c>
      <c r="AJ108" s="5">
        <v>48.308069445952903</v>
      </c>
      <c r="AK108" s="5">
        <v>3.6429646409011198</v>
      </c>
      <c r="AL108" s="5">
        <v>18.208617131863502</v>
      </c>
      <c r="AM108" s="5">
        <v>19.2620979628567</v>
      </c>
      <c r="AN108" s="5">
        <v>16.6462383442198</v>
      </c>
      <c r="AO108" s="5">
        <v>17.133415046623099</v>
      </c>
      <c r="AP108" s="5">
        <v>13.45476548803</v>
      </c>
      <c r="AQ108" s="5">
        <v>7.6939785580190199</v>
      </c>
      <c r="AR108" s="5">
        <v>3.2954245729446301</v>
      </c>
      <c r="AS108" s="5">
        <v>0.66249825454206901</v>
      </c>
    </row>
    <row r="109" spans="1:45" x14ac:dyDescent="0.25">
      <c r="A109" t="s">
        <v>287</v>
      </c>
      <c r="B109" t="s">
        <v>288</v>
      </c>
      <c r="C109" t="s">
        <v>93</v>
      </c>
      <c r="D109">
        <v>18.309999999999999</v>
      </c>
      <c r="E109" s="2">
        <f t="shared" si="12"/>
        <v>6176.5122999999994</v>
      </c>
      <c r="F109">
        <v>31.97</v>
      </c>
      <c r="G109" s="2">
        <f t="shared" si="13"/>
        <v>10784.4401</v>
      </c>
      <c r="H109">
        <v>24.86</v>
      </c>
      <c r="I109" s="2">
        <f t="shared" si="14"/>
        <v>8386.0238000000008</v>
      </c>
      <c r="J109">
        <v>13.75</v>
      </c>
      <c r="K109" s="2">
        <f t="shared" si="15"/>
        <v>4638.2875000000004</v>
      </c>
      <c r="L109">
        <v>8.4600000000000009</v>
      </c>
      <c r="M109" s="2">
        <f t="shared" si="16"/>
        <v>2853.8118000000004</v>
      </c>
      <c r="N109">
        <v>0.89</v>
      </c>
      <c r="O109" s="2">
        <f t="shared" si="17"/>
        <v>300.22370000000001</v>
      </c>
      <c r="P109">
        <v>1.1499999999999999</v>
      </c>
      <c r="Q109" s="2">
        <f t="shared" si="18"/>
        <v>387.92949999999996</v>
      </c>
      <c r="R109">
        <v>0.61</v>
      </c>
      <c r="S109" s="3">
        <f t="shared" si="19"/>
        <v>205.7713</v>
      </c>
      <c r="T109" t="s">
        <v>94</v>
      </c>
      <c r="U109" s="4">
        <f t="shared" si="20"/>
        <v>33733</v>
      </c>
      <c r="V109" s="4">
        <f t="shared" si="21"/>
        <v>0</v>
      </c>
      <c r="W109">
        <v>33733</v>
      </c>
      <c r="X109">
        <v>16492</v>
      </c>
      <c r="Y109">
        <v>17241</v>
      </c>
      <c r="Z109">
        <v>1100</v>
      </c>
      <c r="AA109">
        <v>5371</v>
      </c>
      <c r="AB109">
        <v>6104</v>
      </c>
      <c r="AC109">
        <v>4997</v>
      </c>
      <c r="AD109">
        <v>6131</v>
      </c>
      <c r="AE109">
        <v>4870</v>
      </c>
      <c r="AF109">
        <v>3105</v>
      </c>
      <c r="AG109">
        <v>1754</v>
      </c>
      <c r="AH109">
        <v>301</v>
      </c>
      <c r="AI109" s="5">
        <v>48.889811164141904</v>
      </c>
      <c r="AJ109" s="5">
        <v>51.110188835858096</v>
      </c>
      <c r="AK109" s="5">
        <v>3.2609017875670698</v>
      </c>
      <c r="AL109" s="5">
        <v>15.9220940918389</v>
      </c>
      <c r="AM109" s="5">
        <v>18.095040464826699</v>
      </c>
      <c r="AN109" s="5">
        <v>14.813387484066</v>
      </c>
      <c r="AO109" s="5">
        <v>18.175080781430601</v>
      </c>
      <c r="AP109" s="5">
        <v>14.4369015504106</v>
      </c>
      <c r="AQ109" s="5">
        <v>9.2046364094506892</v>
      </c>
      <c r="AR109" s="5">
        <v>5.1996561230842202</v>
      </c>
      <c r="AS109" s="5">
        <v>0.89230130732517099</v>
      </c>
    </row>
    <row r="110" spans="1:45" x14ac:dyDescent="0.25">
      <c r="A110" t="s">
        <v>289</v>
      </c>
      <c r="B110" t="s">
        <v>290</v>
      </c>
      <c r="C110" t="s">
        <v>217</v>
      </c>
      <c r="D110">
        <v>27.33</v>
      </c>
      <c r="E110" s="2">
        <f t="shared" si="12"/>
        <v>3585.1494000000002</v>
      </c>
      <c r="F110">
        <v>24.28</v>
      </c>
      <c r="G110" s="2">
        <f t="shared" si="13"/>
        <v>3185.0504000000005</v>
      </c>
      <c r="H110">
        <v>24.85</v>
      </c>
      <c r="I110" s="2">
        <f t="shared" si="14"/>
        <v>3259.8230000000003</v>
      </c>
      <c r="J110">
        <v>10.73</v>
      </c>
      <c r="K110" s="2">
        <f t="shared" si="15"/>
        <v>1407.5614</v>
      </c>
      <c r="L110">
        <v>9.9</v>
      </c>
      <c r="M110" s="2">
        <f t="shared" si="16"/>
        <v>1298.682</v>
      </c>
      <c r="N110">
        <v>0.94</v>
      </c>
      <c r="O110" s="2">
        <f t="shared" si="17"/>
        <v>123.3092</v>
      </c>
      <c r="P110">
        <v>1.37</v>
      </c>
      <c r="Q110" s="2">
        <f t="shared" si="18"/>
        <v>179.7166</v>
      </c>
      <c r="R110">
        <v>0.6</v>
      </c>
      <c r="S110" s="3">
        <f t="shared" si="19"/>
        <v>78.707999999999998</v>
      </c>
      <c r="T110" t="s">
        <v>218</v>
      </c>
      <c r="U110" s="4">
        <f t="shared" si="20"/>
        <v>13118.000000000002</v>
      </c>
      <c r="V110" s="4">
        <f t="shared" si="21"/>
        <v>0</v>
      </c>
      <c r="W110">
        <v>13118</v>
      </c>
      <c r="X110">
        <v>6568</v>
      </c>
      <c r="Y110">
        <v>6550</v>
      </c>
      <c r="Z110">
        <v>362</v>
      </c>
      <c r="AA110">
        <v>2024</v>
      </c>
      <c r="AB110">
        <v>2481</v>
      </c>
      <c r="AC110">
        <v>2038</v>
      </c>
      <c r="AD110">
        <v>2339</v>
      </c>
      <c r="AE110">
        <v>2045</v>
      </c>
      <c r="AF110">
        <v>1218</v>
      </c>
      <c r="AG110">
        <v>519</v>
      </c>
      <c r="AH110">
        <v>92</v>
      </c>
      <c r="AI110" s="5">
        <v>50.068608019515203</v>
      </c>
      <c r="AJ110" s="5">
        <v>49.931391980484797</v>
      </c>
      <c r="AK110" s="5">
        <v>2.7595670071657299</v>
      </c>
      <c r="AL110" s="5">
        <v>15.4291812776338</v>
      </c>
      <c r="AM110" s="5">
        <v>18.9129440463485</v>
      </c>
      <c r="AN110" s="5">
        <v>15.5359048635463</v>
      </c>
      <c r="AO110" s="5">
        <v>17.830461960664699</v>
      </c>
      <c r="AP110" s="5">
        <v>15.589266656502501</v>
      </c>
      <c r="AQ110" s="5">
        <v>9.28495197438634</v>
      </c>
      <c r="AR110" s="5">
        <v>3.9563957920414698</v>
      </c>
      <c r="AS110" s="5">
        <v>0.70132642171062698</v>
      </c>
    </row>
    <row r="111" spans="1:45" x14ac:dyDescent="0.25">
      <c r="A111" t="s">
        <v>291</v>
      </c>
      <c r="B111" t="s">
        <v>292</v>
      </c>
      <c r="C111" t="s">
        <v>217</v>
      </c>
      <c r="D111">
        <v>26.48</v>
      </c>
      <c r="E111" s="2">
        <f t="shared" si="12"/>
        <v>7603.9968000000008</v>
      </c>
      <c r="F111">
        <v>22.76</v>
      </c>
      <c r="G111" s="2">
        <f t="shared" si="13"/>
        <v>6535.7616000000007</v>
      </c>
      <c r="H111">
        <v>24.79</v>
      </c>
      <c r="I111" s="2">
        <f t="shared" si="14"/>
        <v>7118.6963999999998</v>
      </c>
      <c r="J111">
        <v>13.95</v>
      </c>
      <c r="K111" s="2">
        <f t="shared" si="15"/>
        <v>4005.8819999999996</v>
      </c>
      <c r="L111">
        <v>9.19</v>
      </c>
      <c r="M111" s="2">
        <f t="shared" si="16"/>
        <v>2639.0003999999999</v>
      </c>
      <c r="N111">
        <v>1</v>
      </c>
      <c r="O111" s="2">
        <f t="shared" si="17"/>
        <v>287.16000000000003</v>
      </c>
      <c r="P111">
        <v>1.29</v>
      </c>
      <c r="Q111" s="2">
        <f t="shared" si="18"/>
        <v>370.43639999999999</v>
      </c>
      <c r="R111">
        <v>0.54</v>
      </c>
      <c r="S111" s="3">
        <f t="shared" si="19"/>
        <v>155.06640000000002</v>
      </c>
      <c r="T111" t="s">
        <v>218</v>
      </c>
      <c r="U111" s="4">
        <f t="shared" si="20"/>
        <v>28716</v>
      </c>
      <c r="V111" s="4">
        <f t="shared" si="21"/>
        <v>0</v>
      </c>
      <c r="W111">
        <v>28716</v>
      </c>
      <c r="X111">
        <v>14618</v>
      </c>
      <c r="Y111">
        <v>14098</v>
      </c>
      <c r="Z111">
        <v>1057</v>
      </c>
      <c r="AA111">
        <v>5059</v>
      </c>
      <c r="AB111">
        <v>5553</v>
      </c>
      <c r="AC111">
        <v>4815</v>
      </c>
      <c r="AD111">
        <v>4788</v>
      </c>
      <c r="AE111">
        <v>4157</v>
      </c>
      <c r="AF111">
        <v>2233</v>
      </c>
      <c r="AG111">
        <v>911</v>
      </c>
      <c r="AH111">
        <v>143</v>
      </c>
      <c r="AI111" s="5">
        <v>50.905418581975198</v>
      </c>
      <c r="AJ111" s="5">
        <v>49.094581418024802</v>
      </c>
      <c r="AK111" s="5">
        <v>3.6808747736453502</v>
      </c>
      <c r="AL111" s="5">
        <v>17.6173561777406</v>
      </c>
      <c r="AM111" s="5">
        <v>19.337651483493499</v>
      </c>
      <c r="AN111" s="5">
        <v>16.767655662348499</v>
      </c>
      <c r="AO111" s="5">
        <v>16.673631424989601</v>
      </c>
      <c r="AP111" s="5">
        <v>14.476250174119</v>
      </c>
      <c r="AQ111" s="5">
        <v>7.7761526675024397</v>
      </c>
      <c r="AR111" s="5">
        <v>3.1724474160746601</v>
      </c>
      <c r="AS111" s="5">
        <v>0.497980220086363</v>
      </c>
    </row>
    <row r="112" spans="1:45" x14ac:dyDescent="0.25">
      <c r="A112" t="s">
        <v>293</v>
      </c>
      <c r="B112" t="s">
        <v>294</v>
      </c>
      <c r="C112" t="s">
        <v>207</v>
      </c>
      <c r="D112">
        <v>16.38</v>
      </c>
      <c r="E112" s="2">
        <f t="shared" si="12"/>
        <v>969.53219999999999</v>
      </c>
      <c r="F112">
        <v>38.700000000000003</v>
      </c>
      <c r="G112" s="2">
        <f t="shared" si="13"/>
        <v>2290.6530000000002</v>
      </c>
      <c r="H112">
        <v>24.71</v>
      </c>
      <c r="I112" s="2">
        <f t="shared" si="14"/>
        <v>1462.5848999999998</v>
      </c>
      <c r="J112">
        <v>10.8</v>
      </c>
      <c r="K112" s="2">
        <f t="shared" si="15"/>
        <v>639.25200000000007</v>
      </c>
      <c r="L112">
        <v>7.28</v>
      </c>
      <c r="M112" s="2">
        <f t="shared" si="16"/>
        <v>430.90319999999997</v>
      </c>
      <c r="N112">
        <v>0.53</v>
      </c>
      <c r="O112" s="2">
        <f t="shared" si="17"/>
        <v>31.370700000000003</v>
      </c>
      <c r="P112">
        <v>1.0900000000000001</v>
      </c>
      <c r="Q112" s="2">
        <f t="shared" si="18"/>
        <v>64.517099999999999</v>
      </c>
      <c r="R112">
        <v>0.51</v>
      </c>
      <c r="S112" s="3">
        <f t="shared" si="19"/>
        <v>30.186900000000001</v>
      </c>
      <c r="T112" t="s">
        <v>208</v>
      </c>
      <c r="U112" s="4">
        <f t="shared" si="20"/>
        <v>5919</v>
      </c>
      <c r="V112" s="4">
        <f t="shared" si="21"/>
        <v>0</v>
      </c>
      <c r="W112">
        <v>5919</v>
      </c>
      <c r="X112">
        <v>2932</v>
      </c>
      <c r="Y112">
        <v>2987</v>
      </c>
      <c r="Z112">
        <v>131</v>
      </c>
      <c r="AA112">
        <v>807</v>
      </c>
      <c r="AB112">
        <v>997</v>
      </c>
      <c r="AC112">
        <v>964</v>
      </c>
      <c r="AD112">
        <v>1083</v>
      </c>
      <c r="AE112">
        <v>959</v>
      </c>
      <c r="AF112">
        <v>629</v>
      </c>
      <c r="AG112">
        <v>291</v>
      </c>
      <c r="AH112">
        <v>58</v>
      </c>
      <c r="AI112" s="5">
        <v>49.535394492312903</v>
      </c>
      <c r="AJ112" s="5">
        <v>50.464605507687097</v>
      </c>
      <c r="AK112" s="5">
        <v>2.2132116911640498</v>
      </c>
      <c r="AL112" s="5">
        <v>13.6340598073999</v>
      </c>
      <c r="AM112" s="5">
        <v>16.844061496874499</v>
      </c>
      <c r="AN112" s="5">
        <v>16.2865348876499</v>
      </c>
      <c r="AO112" s="5">
        <v>18.2970096300051</v>
      </c>
      <c r="AP112" s="5">
        <v>16.2020611589796</v>
      </c>
      <c r="AQ112" s="5">
        <v>10.6267950667342</v>
      </c>
      <c r="AR112" s="5">
        <v>4.9163710086163199</v>
      </c>
      <c r="AS112" s="5">
        <v>0.97989525257644905</v>
      </c>
    </row>
    <row r="113" spans="1:45" x14ac:dyDescent="0.25">
      <c r="A113" t="s">
        <v>295</v>
      </c>
      <c r="B113" t="s">
        <v>296</v>
      </c>
      <c r="C113" t="s">
        <v>75</v>
      </c>
      <c r="D113">
        <v>25.98</v>
      </c>
      <c r="E113" s="2">
        <f t="shared" si="12"/>
        <v>0</v>
      </c>
      <c r="F113">
        <v>20.63</v>
      </c>
      <c r="G113" s="2">
        <f t="shared" si="13"/>
        <v>0</v>
      </c>
      <c r="H113">
        <v>24.7</v>
      </c>
      <c r="I113" s="2">
        <f t="shared" si="14"/>
        <v>0</v>
      </c>
      <c r="J113">
        <v>14.48</v>
      </c>
      <c r="K113" s="2">
        <f t="shared" si="15"/>
        <v>0</v>
      </c>
      <c r="L113">
        <v>11.2</v>
      </c>
      <c r="M113" s="2">
        <f t="shared" si="16"/>
        <v>0</v>
      </c>
      <c r="N113">
        <v>0.77</v>
      </c>
      <c r="O113" s="2">
        <f t="shared" si="17"/>
        <v>0</v>
      </c>
      <c r="P113">
        <v>1.54</v>
      </c>
      <c r="Q113" s="2">
        <f t="shared" si="18"/>
        <v>0</v>
      </c>
      <c r="R113">
        <v>0.7</v>
      </c>
      <c r="S113" s="3">
        <f t="shared" si="19"/>
        <v>0</v>
      </c>
      <c r="U113" s="4">
        <f t="shared" si="20"/>
        <v>0</v>
      </c>
      <c r="V113" s="4">
        <f t="shared" si="21"/>
        <v>0</v>
      </c>
      <c r="AI113" s="5" t="e">
        <v>#DIV/0!</v>
      </c>
      <c r="AJ113" s="5" t="e">
        <v>#DIV/0!</v>
      </c>
      <c r="AK113" s="5" t="e">
        <v>#DIV/0!</v>
      </c>
      <c r="AL113" s="5" t="e">
        <v>#DIV/0!</v>
      </c>
      <c r="AM113" s="5" t="e">
        <v>#DIV/0!</v>
      </c>
      <c r="AN113" s="5" t="e">
        <v>#DIV/0!</v>
      </c>
      <c r="AO113" s="5" t="e">
        <v>#DIV/0!</v>
      </c>
      <c r="AP113" s="5" t="e">
        <v>#DIV/0!</v>
      </c>
      <c r="AQ113" s="5" t="e">
        <v>#DIV/0!</v>
      </c>
      <c r="AR113" s="5" t="e">
        <v>#DIV/0!</v>
      </c>
      <c r="AS113" s="5" t="e">
        <v>#DIV/0!</v>
      </c>
    </row>
    <row r="114" spans="1:45" x14ac:dyDescent="0.25">
      <c r="A114" t="s">
        <v>297</v>
      </c>
      <c r="B114" t="s">
        <v>298</v>
      </c>
      <c r="C114" t="s">
        <v>113</v>
      </c>
      <c r="D114">
        <v>27.54</v>
      </c>
      <c r="E114" s="2">
        <f t="shared" si="12"/>
        <v>17065.161</v>
      </c>
      <c r="F114">
        <v>21.08</v>
      </c>
      <c r="G114" s="2">
        <f t="shared" si="13"/>
        <v>13062.222</v>
      </c>
      <c r="H114">
        <v>24.69</v>
      </c>
      <c r="I114" s="2">
        <f t="shared" si="14"/>
        <v>15299.158500000001</v>
      </c>
      <c r="J114">
        <v>13.75</v>
      </c>
      <c r="K114" s="2">
        <f t="shared" si="15"/>
        <v>8520.1875</v>
      </c>
      <c r="L114">
        <v>9.89</v>
      </c>
      <c r="M114" s="2">
        <f t="shared" si="16"/>
        <v>6128.3385000000007</v>
      </c>
      <c r="N114">
        <v>1.1599999999999999</v>
      </c>
      <c r="O114" s="2">
        <f t="shared" si="17"/>
        <v>718.79399999999998</v>
      </c>
      <c r="P114">
        <v>1.2</v>
      </c>
      <c r="Q114" s="2">
        <f t="shared" si="18"/>
        <v>743.58</v>
      </c>
      <c r="R114">
        <v>0.69</v>
      </c>
      <c r="S114" s="3">
        <f t="shared" si="19"/>
        <v>427.55849999999998</v>
      </c>
      <c r="T114" t="s">
        <v>114</v>
      </c>
      <c r="U114" s="4">
        <f t="shared" si="20"/>
        <v>61965</v>
      </c>
      <c r="V114" s="4">
        <f t="shared" si="21"/>
        <v>0</v>
      </c>
      <c r="W114">
        <v>61965</v>
      </c>
      <c r="X114">
        <v>32184</v>
      </c>
      <c r="Y114">
        <v>29781</v>
      </c>
      <c r="Z114">
        <v>2154</v>
      </c>
      <c r="AA114">
        <v>10456</v>
      </c>
      <c r="AB114">
        <v>12295</v>
      </c>
      <c r="AC114">
        <v>10436</v>
      </c>
      <c r="AD114">
        <v>9422</v>
      </c>
      <c r="AE114">
        <v>8929</v>
      </c>
      <c r="AF114">
        <v>5348</v>
      </c>
      <c r="AG114">
        <v>2430</v>
      </c>
      <c r="AH114">
        <v>495</v>
      </c>
      <c r="AI114" s="5">
        <v>51.938997821350803</v>
      </c>
      <c r="AJ114" s="5">
        <v>48.061002178649197</v>
      </c>
      <c r="AK114" s="5">
        <v>3.47615589445655</v>
      </c>
      <c r="AL114" s="5">
        <v>16.874041797789101</v>
      </c>
      <c r="AM114" s="5">
        <v>19.841846203502001</v>
      </c>
      <c r="AN114" s="5">
        <v>16.8417655127895</v>
      </c>
      <c r="AO114" s="5">
        <v>15.205357863309899</v>
      </c>
      <c r="AP114" s="5">
        <v>14.4097474380699</v>
      </c>
      <c r="AQ114" s="5">
        <v>8.6306786088921204</v>
      </c>
      <c r="AR114" s="5">
        <v>3.9215686274509798</v>
      </c>
      <c r="AS114" s="5">
        <v>0.79883805374001404</v>
      </c>
    </row>
    <row r="115" spans="1:45" x14ac:dyDescent="0.25">
      <c r="A115" t="s">
        <v>299</v>
      </c>
      <c r="B115" t="s">
        <v>300</v>
      </c>
      <c r="C115" t="s">
        <v>217</v>
      </c>
      <c r="D115">
        <v>21.85</v>
      </c>
      <c r="E115" s="2">
        <f t="shared" si="12"/>
        <v>3900.4435000000003</v>
      </c>
      <c r="F115">
        <v>27.34</v>
      </c>
      <c r="G115" s="2">
        <f t="shared" si="13"/>
        <v>4880.4634000000005</v>
      </c>
      <c r="H115">
        <v>24.65</v>
      </c>
      <c r="I115" s="2">
        <f t="shared" si="14"/>
        <v>4400.2714999999998</v>
      </c>
      <c r="J115">
        <v>13.93</v>
      </c>
      <c r="K115" s="2">
        <f t="shared" si="15"/>
        <v>2486.6442999999999</v>
      </c>
      <c r="L115">
        <v>9.7899999999999991</v>
      </c>
      <c r="M115" s="2">
        <f t="shared" si="16"/>
        <v>1747.6128999999999</v>
      </c>
      <c r="N115">
        <v>0.96</v>
      </c>
      <c r="O115" s="2">
        <f t="shared" si="17"/>
        <v>171.36959999999999</v>
      </c>
      <c r="P115">
        <v>1.1299999999999999</v>
      </c>
      <c r="Q115" s="2">
        <f t="shared" si="18"/>
        <v>201.71629999999996</v>
      </c>
      <c r="R115">
        <v>0.36</v>
      </c>
      <c r="S115" s="3">
        <f t="shared" si="19"/>
        <v>64.263599999999997</v>
      </c>
      <c r="T115" t="s">
        <v>218</v>
      </c>
      <c r="U115" s="4">
        <f t="shared" si="20"/>
        <v>17852.785100000001</v>
      </c>
      <c r="V115" s="4">
        <f t="shared" si="21"/>
        <v>1.7851000000009662</v>
      </c>
      <c r="W115">
        <v>17851</v>
      </c>
      <c r="X115">
        <v>9009</v>
      </c>
      <c r="Y115">
        <v>8842</v>
      </c>
      <c r="Z115">
        <v>599</v>
      </c>
      <c r="AA115">
        <v>2840</v>
      </c>
      <c r="AB115">
        <v>3409</v>
      </c>
      <c r="AC115">
        <v>2882</v>
      </c>
      <c r="AD115">
        <v>2929</v>
      </c>
      <c r="AE115">
        <v>2706</v>
      </c>
      <c r="AF115">
        <v>1641</v>
      </c>
      <c r="AG115">
        <v>697</v>
      </c>
      <c r="AH115">
        <v>148</v>
      </c>
      <c r="AI115" s="5">
        <v>50.467760909752997</v>
      </c>
      <c r="AJ115" s="5">
        <v>49.532239090247003</v>
      </c>
      <c r="AK115" s="5">
        <v>3.3555543106828698</v>
      </c>
      <c r="AL115" s="5">
        <v>15.909472858663401</v>
      </c>
      <c r="AM115" s="5">
        <v>19.096969357458999</v>
      </c>
      <c r="AN115" s="5">
        <v>16.144753795305601</v>
      </c>
      <c r="AO115" s="5">
        <v>16.408044367262299</v>
      </c>
      <c r="AP115" s="5">
        <v>15.158814632233501</v>
      </c>
      <c r="AQ115" s="5">
        <v>9.1927623102347198</v>
      </c>
      <c r="AR115" s="5">
        <v>3.9045431628480198</v>
      </c>
      <c r="AS115" s="5">
        <v>0.82908520531062702</v>
      </c>
    </row>
    <row r="116" spans="1:45" x14ac:dyDescent="0.25">
      <c r="A116" t="s">
        <v>301</v>
      </c>
      <c r="B116" t="s">
        <v>302</v>
      </c>
      <c r="C116" t="s">
        <v>147</v>
      </c>
      <c r="D116">
        <v>16.45</v>
      </c>
      <c r="E116" s="2">
        <f t="shared" si="12"/>
        <v>1602.23</v>
      </c>
      <c r="F116">
        <v>34</v>
      </c>
      <c r="G116" s="2">
        <f t="shared" si="13"/>
        <v>3311.6</v>
      </c>
      <c r="H116">
        <v>24.63</v>
      </c>
      <c r="I116" s="2">
        <f t="shared" si="14"/>
        <v>2398.962</v>
      </c>
      <c r="J116">
        <v>13.36</v>
      </c>
      <c r="K116" s="2">
        <f t="shared" si="15"/>
        <v>1301.2639999999999</v>
      </c>
      <c r="L116">
        <v>9.5500000000000007</v>
      </c>
      <c r="M116" s="2">
        <f t="shared" si="16"/>
        <v>930.17</v>
      </c>
      <c r="N116">
        <v>0.79</v>
      </c>
      <c r="O116" s="2">
        <f t="shared" si="17"/>
        <v>76.945999999999998</v>
      </c>
      <c r="P116">
        <v>0.87</v>
      </c>
      <c r="Q116" s="2">
        <f t="shared" si="18"/>
        <v>84.738</v>
      </c>
      <c r="R116">
        <v>0.36</v>
      </c>
      <c r="S116" s="3">
        <f t="shared" si="19"/>
        <v>35.064</v>
      </c>
      <c r="T116" t="s">
        <v>148</v>
      </c>
      <c r="U116" s="4">
        <f t="shared" si="20"/>
        <v>9740.9740000000002</v>
      </c>
      <c r="V116" s="4">
        <f t="shared" si="21"/>
        <v>0.97400000000016007</v>
      </c>
      <c r="W116">
        <v>9740</v>
      </c>
      <c r="X116">
        <v>4834</v>
      </c>
      <c r="Y116">
        <v>4906</v>
      </c>
      <c r="Z116">
        <v>277</v>
      </c>
      <c r="AA116">
        <v>1298</v>
      </c>
      <c r="AB116">
        <v>1813</v>
      </c>
      <c r="AC116">
        <v>1536</v>
      </c>
      <c r="AD116">
        <v>1797</v>
      </c>
      <c r="AE116">
        <v>1529</v>
      </c>
      <c r="AF116">
        <v>965</v>
      </c>
      <c r="AG116">
        <v>438</v>
      </c>
      <c r="AH116">
        <v>87</v>
      </c>
      <c r="AI116" s="5">
        <v>49.630390143737202</v>
      </c>
      <c r="AJ116" s="5">
        <v>50.369609856262798</v>
      </c>
      <c r="AK116" s="5">
        <v>2.8439425051334699</v>
      </c>
      <c r="AL116" s="5">
        <v>13.326488706365501</v>
      </c>
      <c r="AM116" s="5">
        <v>18.613963039014401</v>
      </c>
      <c r="AN116" s="5">
        <v>15.770020533880899</v>
      </c>
      <c r="AO116" s="5">
        <v>18.449691991786398</v>
      </c>
      <c r="AP116" s="5">
        <v>15.6981519507187</v>
      </c>
      <c r="AQ116" s="5">
        <v>9.9075975359342898</v>
      </c>
      <c r="AR116" s="5">
        <v>4.4969199178644796</v>
      </c>
      <c r="AS116" s="5">
        <v>0.89322381930184802</v>
      </c>
    </row>
    <row r="117" spans="1:45" x14ac:dyDescent="0.25">
      <c r="A117" t="s">
        <v>303</v>
      </c>
      <c r="B117" t="s">
        <v>304</v>
      </c>
      <c r="C117" t="s">
        <v>217</v>
      </c>
      <c r="D117">
        <v>24.92</v>
      </c>
      <c r="E117" s="2">
        <f t="shared" si="12"/>
        <v>5732.3476000000001</v>
      </c>
      <c r="F117">
        <v>24.7</v>
      </c>
      <c r="G117" s="2">
        <f t="shared" si="13"/>
        <v>5681.741</v>
      </c>
      <c r="H117">
        <v>24.62</v>
      </c>
      <c r="I117" s="2">
        <f t="shared" si="14"/>
        <v>5663.3386</v>
      </c>
      <c r="J117">
        <v>13.49</v>
      </c>
      <c r="K117" s="2">
        <f t="shared" si="15"/>
        <v>3103.1047000000003</v>
      </c>
      <c r="L117">
        <v>9</v>
      </c>
      <c r="M117" s="2">
        <f t="shared" si="16"/>
        <v>2070.27</v>
      </c>
      <c r="N117">
        <v>1.04</v>
      </c>
      <c r="O117" s="2">
        <f t="shared" si="17"/>
        <v>239.23120000000003</v>
      </c>
      <c r="P117">
        <v>1.58</v>
      </c>
      <c r="Q117" s="2">
        <f t="shared" si="18"/>
        <v>363.44740000000007</v>
      </c>
      <c r="R117">
        <v>0.66</v>
      </c>
      <c r="S117" s="3">
        <f t="shared" si="19"/>
        <v>151.81980000000001</v>
      </c>
      <c r="T117" t="s">
        <v>218</v>
      </c>
      <c r="U117" s="4">
        <f t="shared" si="20"/>
        <v>23005.300300000003</v>
      </c>
      <c r="V117" s="4">
        <f t="shared" si="21"/>
        <v>2.3003000000026077</v>
      </c>
      <c r="W117">
        <v>23003</v>
      </c>
      <c r="X117">
        <v>11642</v>
      </c>
      <c r="Y117">
        <v>11361</v>
      </c>
      <c r="Z117">
        <v>777</v>
      </c>
      <c r="AA117">
        <v>3878</v>
      </c>
      <c r="AB117">
        <v>4309</v>
      </c>
      <c r="AC117">
        <v>3773</v>
      </c>
      <c r="AD117">
        <v>3892</v>
      </c>
      <c r="AE117">
        <v>3442</v>
      </c>
      <c r="AF117">
        <v>1983</v>
      </c>
      <c r="AG117">
        <v>817</v>
      </c>
      <c r="AH117">
        <v>132</v>
      </c>
      <c r="AI117" s="5">
        <v>50.610789896969997</v>
      </c>
      <c r="AJ117" s="5">
        <v>49.389210103030003</v>
      </c>
      <c r="AK117" s="5">
        <v>3.3778202843107401</v>
      </c>
      <c r="AL117" s="5">
        <v>16.858670608181502</v>
      </c>
      <c r="AM117" s="5">
        <v>18.732339260096499</v>
      </c>
      <c r="AN117" s="5">
        <v>16.402208407599002</v>
      </c>
      <c r="AO117" s="5">
        <v>16.919532234925899</v>
      </c>
      <c r="AP117" s="5">
        <v>14.963265661000699</v>
      </c>
      <c r="AQ117" s="5">
        <v>8.6206147024301192</v>
      </c>
      <c r="AR117" s="5">
        <v>3.55171064643742</v>
      </c>
      <c r="AS117" s="5">
        <v>0.57383819501804101</v>
      </c>
    </row>
    <row r="118" spans="1:45" x14ac:dyDescent="0.25">
      <c r="A118" t="s">
        <v>305</v>
      </c>
      <c r="B118" t="s">
        <v>306</v>
      </c>
      <c r="C118" t="s">
        <v>147</v>
      </c>
      <c r="D118">
        <v>19.809999999999999</v>
      </c>
      <c r="E118" s="2">
        <f t="shared" si="12"/>
        <v>8413.9012999999995</v>
      </c>
      <c r="F118">
        <v>33.07</v>
      </c>
      <c r="G118" s="2">
        <f t="shared" si="13"/>
        <v>14045.821100000001</v>
      </c>
      <c r="H118">
        <v>24.57</v>
      </c>
      <c r="I118" s="2">
        <f t="shared" si="14"/>
        <v>10435.616099999999</v>
      </c>
      <c r="J118">
        <v>12.57</v>
      </c>
      <c r="K118" s="2">
        <f t="shared" si="15"/>
        <v>5338.8561</v>
      </c>
      <c r="L118">
        <v>7.64</v>
      </c>
      <c r="M118" s="2">
        <f t="shared" si="16"/>
        <v>3244.9371999999998</v>
      </c>
      <c r="N118">
        <v>0.7</v>
      </c>
      <c r="O118" s="2">
        <f t="shared" si="17"/>
        <v>297.31099999999998</v>
      </c>
      <c r="P118">
        <v>1.1000000000000001</v>
      </c>
      <c r="Q118" s="2">
        <f t="shared" si="18"/>
        <v>467.20300000000003</v>
      </c>
      <c r="R118">
        <v>0.53</v>
      </c>
      <c r="S118" s="3">
        <f t="shared" si="19"/>
        <v>225.10690000000002</v>
      </c>
      <c r="T118" t="s">
        <v>148</v>
      </c>
      <c r="U118" s="4">
        <f t="shared" si="20"/>
        <v>42468.752699999997</v>
      </c>
      <c r="V118" s="4">
        <f t="shared" si="21"/>
        <v>-4.2473000000027241</v>
      </c>
      <c r="W118">
        <v>42473</v>
      </c>
      <c r="X118">
        <v>21770</v>
      </c>
      <c r="Y118">
        <v>20703</v>
      </c>
      <c r="Z118">
        <v>1349</v>
      </c>
      <c r="AA118">
        <v>6807</v>
      </c>
      <c r="AB118">
        <v>8032</v>
      </c>
      <c r="AC118">
        <v>6564</v>
      </c>
      <c r="AD118">
        <v>7499</v>
      </c>
      <c r="AE118">
        <v>6281</v>
      </c>
      <c r="AF118">
        <v>3887</v>
      </c>
      <c r="AG118">
        <v>1710</v>
      </c>
      <c r="AH118">
        <v>344</v>
      </c>
      <c r="AI118" s="5">
        <v>51.256092105572897</v>
      </c>
      <c r="AJ118" s="5">
        <v>48.743907894426997</v>
      </c>
      <c r="AK118" s="5">
        <v>3.1761354272125799</v>
      </c>
      <c r="AL118" s="5">
        <v>16.026652226120099</v>
      </c>
      <c r="AM118" s="5">
        <v>18.910837473218301</v>
      </c>
      <c r="AN118" s="5">
        <v>15.454524050573299</v>
      </c>
      <c r="AO118" s="5">
        <v>17.655922586113501</v>
      </c>
      <c r="AP118" s="5">
        <v>14.7882183975702</v>
      </c>
      <c r="AQ118" s="5">
        <v>9.1516963718126796</v>
      </c>
      <c r="AR118" s="5">
        <v>4.0260871612553899</v>
      </c>
      <c r="AS118" s="5">
        <v>0.80992630612389005</v>
      </c>
    </row>
    <row r="119" spans="1:45" x14ac:dyDescent="0.25">
      <c r="A119" t="s">
        <v>307</v>
      </c>
      <c r="B119" t="s">
        <v>308</v>
      </c>
      <c r="C119" t="s">
        <v>207</v>
      </c>
      <c r="D119">
        <v>13.02</v>
      </c>
      <c r="E119" s="2">
        <f t="shared" si="12"/>
        <v>3200.3159999999998</v>
      </c>
      <c r="F119">
        <v>38.15</v>
      </c>
      <c r="G119" s="2">
        <f t="shared" si="13"/>
        <v>9377.27</v>
      </c>
      <c r="H119">
        <v>24.51</v>
      </c>
      <c r="I119" s="2">
        <f t="shared" si="14"/>
        <v>6024.5580000000009</v>
      </c>
      <c r="J119">
        <v>14.96</v>
      </c>
      <c r="K119" s="2">
        <f t="shared" si="15"/>
        <v>3677.1680000000006</v>
      </c>
      <c r="L119">
        <v>7.39</v>
      </c>
      <c r="M119" s="2">
        <f t="shared" si="16"/>
        <v>1816.4619999999998</v>
      </c>
      <c r="N119">
        <v>0.62</v>
      </c>
      <c r="O119" s="2">
        <f t="shared" si="17"/>
        <v>152.39600000000002</v>
      </c>
      <c r="P119">
        <v>0.95</v>
      </c>
      <c r="Q119" s="2">
        <f t="shared" si="18"/>
        <v>233.51</v>
      </c>
      <c r="R119">
        <v>0.4</v>
      </c>
      <c r="S119" s="3">
        <f t="shared" si="19"/>
        <v>98.32</v>
      </c>
      <c r="T119" t="s">
        <v>208</v>
      </c>
      <c r="U119" s="4">
        <f t="shared" si="20"/>
        <v>24580</v>
      </c>
      <c r="V119" s="4">
        <f t="shared" si="21"/>
        <v>0</v>
      </c>
      <c r="W119">
        <v>24580</v>
      </c>
      <c r="X119">
        <v>12337</v>
      </c>
      <c r="Y119">
        <v>12243</v>
      </c>
      <c r="Z119">
        <v>827</v>
      </c>
      <c r="AA119">
        <v>3863</v>
      </c>
      <c r="AB119">
        <v>4573</v>
      </c>
      <c r="AC119">
        <v>3994</v>
      </c>
      <c r="AD119">
        <v>4520</v>
      </c>
      <c r="AE119">
        <v>3706</v>
      </c>
      <c r="AF119">
        <v>2055</v>
      </c>
      <c r="AG119">
        <v>890</v>
      </c>
      <c r="AH119">
        <v>152</v>
      </c>
      <c r="AI119" s="5">
        <v>50.191212367778697</v>
      </c>
      <c r="AJ119" s="5">
        <v>49.808787632221303</v>
      </c>
      <c r="AK119" s="5">
        <v>3.3645240032546799</v>
      </c>
      <c r="AL119" s="5">
        <v>15.7160292921074</v>
      </c>
      <c r="AM119" s="5">
        <v>18.604556550040702</v>
      </c>
      <c r="AN119" s="5">
        <v>16.2489829129374</v>
      </c>
      <c r="AO119" s="5">
        <v>18.388934092758301</v>
      </c>
      <c r="AP119" s="5">
        <v>15.077298616761601</v>
      </c>
      <c r="AQ119" s="5">
        <v>8.3604556550040705</v>
      </c>
      <c r="AR119" s="5">
        <v>3.6208299430431201</v>
      </c>
      <c r="AS119" s="5">
        <v>0.61838893409275797</v>
      </c>
    </row>
    <row r="120" spans="1:45" x14ac:dyDescent="0.25">
      <c r="A120" t="s">
        <v>309</v>
      </c>
      <c r="B120" t="s">
        <v>310</v>
      </c>
      <c r="C120" t="s">
        <v>93</v>
      </c>
      <c r="D120">
        <v>25.9</v>
      </c>
      <c r="E120" s="2">
        <f t="shared" si="12"/>
        <v>2177.154</v>
      </c>
      <c r="F120">
        <v>24.46</v>
      </c>
      <c r="G120" s="2">
        <f t="shared" si="13"/>
        <v>2056.1076000000003</v>
      </c>
      <c r="H120">
        <v>24.46</v>
      </c>
      <c r="I120" s="2">
        <f t="shared" si="14"/>
        <v>2056.1076000000003</v>
      </c>
      <c r="J120">
        <v>14.91</v>
      </c>
      <c r="K120" s="2">
        <f t="shared" si="15"/>
        <v>1253.3346000000001</v>
      </c>
      <c r="L120">
        <v>7.19</v>
      </c>
      <c r="M120" s="2">
        <f t="shared" si="16"/>
        <v>604.39140000000009</v>
      </c>
      <c r="N120">
        <v>0.76</v>
      </c>
      <c r="O120" s="2">
        <f t="shared" si="17"/>
        <v>63.885600000000004</v>
      </c>
      <c r="P120">
        <v>1.6</v>
      </c>
      <c r="Q120" s="2">
        <f t="shared" si="18"/>
        <v>134.49600000000001</v>
      </c>
      <c r="R120">
        <v>0.72</v>
      </c>
      <c r="S120" s="3">
        <f t="shared" si="19"/>
        <v>60.523199999999996</v>
      </c>
      <c r="T120" t="s">
        <v>94</v>
      </c>
      <c r="U120" s="4">
        <f t="shared" si="20"/>
        <v>8406</v>
      </c>
      <c r="V120" s="4">
        <f t="shared" si="21"/>
        <v>0</v>
      </c>
      <c r="W120">
        <v>8406</v>
      </c>
      <c r="X120">
        <v>4047</v>
      </c>
      <c r="Y120">
        <v>4359</v>
      </c>
      <c r="Z120">
        <v>193</v>
      </c>
      <c r="AA120">
        <v>1054</v>
      </c>
      <c r="AB120">
        <v>1211</v>
      </c>
      <c r="AC120">
        <v>1424</v>
      </c>
      <c r="AD120">
        <v>1772</v>
      </c>
      <c r="AE120">
        <v>1436</v>
      </c>
      <c r="AF120">
        <v>850</v>
      </c>
      <c r="AG120">
        <v>388</v>
      </c>
      <c r="AH120">
        <v>78</v>
      </c>
      <c r="AI120" s="5">
        <v>48.144182726623796</v>
      </c>
      <c r="AJ120" s="5">
        <v>51.855817273376204</v>
      </c>
      <c r="AK120" s="5">
        <v>2.2959790625743501</v>
      </c>
      <c r="AL120" s="5">
        <v>12.538662859862001</v>
      </c>
      <c r="AM120" s="5">
        <v>14.406376397811099</v>
      </c>
      <c r="AN120" s="5">
        <v>16.9402807518439</v>
      </c>
      <c r="AO120" s="5">
        <v>21.0801808232215</v>
      </c>
      <c r="AP120" s="5">
        <v>17.083035926718999</v>
      </c>
      <c r="AQ120" s="5">
        <v>10.111824886985501</v>
      </c>
      <c r="AR120" s="5">
        <v>4.6157506542945503</v>
      </c>
      <c r="AS120" s="5">
        <v>0.92790863668807999</v>
      </c>
    </row>
    <row r="121" spans="1:45" x14ac:dyDescent="0.25">
      <c r="A121" t="s">
        <v>311</v>
      </c>
      <c r="B121" t="s">
        <v>312</v>
      </c>
      <c r="C121" t="s">
        <v>81</v>
      </c>
      <c r="D121">
        <v>16.559999999999999</v>
      </c>
      <c r="E121" s="2">
        <f t="shared" si="12"/>
        <v>1889.4959999999999</v>
      </c>
      <c r="F121">
        <v>33.090000000000003</v>
      </c>
      <c r="G121" s="2">
        <f t="shared" si="13"/>
        <v>3775.5690000000004</v>
      </c>
      <c r="H121">
        <v>24.26</v>
      </c>
      <c r="I121" s="2">
        <f t="shared" si="14"/>
        <v>2768.0660000000003</v>
      </c>
      <c r="J121">
        <v>14.14</v>
      </c>
      <c r="K121" s="2">
        <f t="shared" si="15"/>
        <v>1613.374</v>
      </c>
      <c r="L121">
        <v>9.27</v>
      </c>
      <c r="M121" s="2">
        <f t="shared" si="16"/>
        <v>1057.7069999999999</v>
      </c>
      <c r="N121">
        <v>0.73</v>
      </c>
      <c r="O121" s="2">
        <f t="shared" si="17"/>
        <v>83.292999999999992</v>
      </c>
      <c r="P121">
        <v>1.31</v>
      </c>
      <c r="Q121" s="2">
        <f t="shared" si="18"/>
        <v>149.471</v>
      </c>
      <c r="R121">
        <v>0.65</v>
      </c>
      <c r="S121" s="3">
        <f t="shared" si="19"/>
        <v>74.165000000000006</v>
      </c>
      <c r="T121" t="s">
        <v>82</v>
      </c>
      <c r="U121" s="4">
        <f t="shared" si="20"/>
        <v>11411.141</v>
      </c>
      <c r="V121" s="4">
        <f t="shared" si="21"/>
        <v>1.1409999999996217</v>
      </c>
      <c r="W121">
        <v>11410</v>
      </c>
      <c r="X121">
        <v>5697</v>
      </c>
      <c r="Y121">
        <v>5713</v>
      </c>
      <c r="Z121">
        <v>301</v>
      </c>
      <c r="AA121">
        <v>1429</v>
      </c>
      <c r="AB121">
        <v>1853</v>
      </c>
      <c r="AC121">
        <v>1672</v>
      </c>
      <c r="AD121">
        <v>2196</v>
      </c>
      <c r="AE121">
        <v>2046</v>
      </c>
      <c r="AF121">
        <v>1240</v>
      </c>
      <c r="AG121">
        <v>562</v>
      </c>
      <c r="AH121">
        <v>111</v>
      </c>
      <c r="AI121" s="5">
        <v>49.929886064855403</v>
      </c>
      <c r="AJ121" s="5">
        <v>50.070113935144597</v>
      </c>
      <c r="AK121" s="5">
        <v>2.6380368098159499</v>
      </c>
      <c r="AL121" s="5">
        <v>12.524101665206</v>
      </c>
      <c r="AM121" s="5">
        <v>16.240140227870299</v>
      </c>
      <c r="AN121" s="5">
        <v>14.653812445223499</v>
      </c>
      <c r="AO121" s="5">
        <v>19.246275197195398</v>
      </c>
      <c r="AP121" s="5">
        <v>17.931638913234</v>
      </c>
      <c r="AQ121" s="5">
        <v>10.8676599474145</v>
      </c>
      <c r="AR121" s="5">
        <v>4.9255039439088497</v>
      </c>
      <c r="AS121" s="5">
        <v>0.97283085013146398</v>
      </c>
    </row>
    <row r="122" spans="1:45" x14ac:dyDescent="0.25">
      <c r="A122" t="s">
        <v>313</v>
      </c>
      <c r="B122" t="s">
        <v>314</v>
      </c>
      <c r="C122" t="s">
        <v>217</v>
      </c>
      <c r="D122">
        <v>20.79</v>
      </c>
      <c r="E122" s="2">
        <f t="shared" si="12"/>
        <v>1818.9170999999999</v>
      </c>
      <c r="F122">
        <v>29.08</v>
      </c>
      <c r="G122" s="2">
        <f t="shared" si="13"/>
        <v>2544.2091999999998</v>
      </c>
      <c r="H122">
        <v>24.24</v>
      </c>
      <c r="I122" s="2">
        <f t="shared" si="14"/>
        <v>2120.7575999999999</v>
      </c>
      <c r="J122">
        <v>13.87</v>
      </c>
      <c r="K122" s="2">
        <f t="shared" si="15"/>
        <v>1213.4862999999998</v>
      </c>
      <c r="L122">
        <v>9.65</v>
      </c>
      <c r="M122" s="2">
        <f t="shared" si="16"/>
        <v>844.27850000000001</v>
      </c>
      <c r="N122">
        <v>0.9</v>
      </c>
      <c r="O122" s="2">
        <f t="shared" si="17"/>
        <v>78.741</v>
      </c>
      <c r="P122">
        <v>1.23</v>
      </c>
      <c r="Q122" s="2">
        <f t="shared" si="18"/>
        <v>107.6127</v>
      </c>
      <c r="R122">
        <v>0.23</v>
      </c>
      <c r="S122" s="3">
        <f t="shared" si="19"/>
        <v>20.122699999999998</v>
      </c>
      <c r="T122" t="s">
        <v>218</v>
      </c>
      <c r="U122" s="4">
        <f t="shared" si="20"/>
        <v>8748.1250999999993</v>
      </c>
      <c r="V122" s="4">
        <f t="shared" si="21"/>
        <v>-0.87490000000070722</v>
      </c>
      <c r="W122">
        <v>8749</v>
      </c>
      <c r="X122">
        <v>4352</v>
      </c>
      <c r="Y122">
        <v>4397</v>
      </c>
      <c r="Z122">
        <v>237</v>
      </c>
      <c r="AA122">
        <v>1317</v>
      </c>
      <c r="AB122">
        <v>1608</v>
      </c>
      <c r="AC122">
        <v>1435</v>
      </c>
      <c r="AD122">
        <v>1552</v>
      </c>
      <c r="AE122">
        <v>1423</v>
      </c>
      <c r="AF122">
        <v>797</v>
      </c>
      <c r="AG122">
        <v>318</v>
      </c>
      <c r="AH122">
        <v>62</v>
      </c>
      <c r="AI122" s="5">
        <v>49.7428277517431</v>
      </c>
      <c r="AJ122" s="5">
        <v>50.2571722482569</v>
      </c>
      <c r="AK122" s="5">
        <v>2.7088810149731399</v>
      </c>
      <c r="AL122" s="5">
        <v>15.053148931306399</v>
      </c>
      <c r="AM122" s="5">
        <v>18.379243342096199</v>
      </c>
      <c r="AN122" s="5">
        <v>16.401874499942799</v>
      </c>
      <c r="AO122" s="5">
        <v>17.739170190879001</v>
      </c>
      <c r="AP122" s="5">
        <v>16.2647159675391</v>
      </c>
      <c r="AQ122" s="5">
        <v>9.1096125271459591</v>
      </c>
      <c r="AR122" s="5">
        <v>3.63470110869814</v>
      </c>
      <c r="AS122" s="5">
        <v>0.70865241741913398</v>
      </c>
    </row>
    <row r="123" spans="1:45" x14ac:dyDescent="0.25">
      <c r="A123" t="s">
        <v>315</v>
      </c>
      <c r="B123" t="s">
        <v>316</v>
      </c>
      <c r="C123" t="s">
        <v>147</v>
      </c>
      <c r="D123">
        <v>13.49</v>
      </c>
      <c r="E123" s="2">
        <f t="shared" si="12"/>
        <v>2626.6378999999997</v>
      </c>
      <c r="F123">
        <v>37.36</v>
      </c>
      <c r="G123" s="2">
        <f t="shared" si="13"/>
        <v>7274.3655999999992</v>
      </c>
      <c r="H123">
        <v>24.17</v>
      </c>
      <c r="I123" s="2">
        <f t="shared" si="14"/>
        <v>4706.1406999999999</v>
      </c>
      <c r="J123">
        <v>14.68</v>
      </c>
      <c r="K123" s="2">
        <f t="shared" si="15"/>
        <v>2858.3427999999999</v>
      </c>
      <c r="L123">
        <v>8.36</v>
      </c>
      <c r="M123" s="2">
        <f t="shared" si="16"/>
        <v>1627.7755999999999</v>
      </c>
      <c r="N123">
        <v>0.63</v>
      </c>
      <c r="O123" s="2">
        <f t="shared" si="17"/>
        <v>122.6673</v>
      </c>
      <c r="P123">
        <v>1.01</v>
      </c>
      <c r="Q123" s="2">
        <f t="shared" si="18"/>
        <v>196.65709999999999</v>
      </c>
      <c r="R123">
        <v>0.31</v>
      </c>
      <c r="S123" s="3">
        <f t="shared" si="19"/>
        <v>60.360100000000003</v>
      </c>
      <c r="T123" t="s">
        <v>148</v>
      </c>
      <c r="U123" s="4">
        <f t="shared" si="20"/>
        <v>19472.947099999998</v>
      </c>
      <c r="V123" s="4">
        <f t="shared" si="21"/>
        <v>1.9470999999975902</v>
      </c>
      <c r="W123">
        <v>19471</v>
      </c>
      <c r="X123">
        <v>9803</v>
      </c>
      <c r="Y123">
        <v>9668</v>
      </c>
      <c r="Z123">
        <v>543</v>
      </c>
      <c r="AA123">
        <v>2809</v>
      </c>
      <c r="AB123">
        <v>3341</v>
      </c>
      <c r="AC123">
        <v>2940</v>
      </c>
      <c r="AD123">
        <v>3702</v>
      </c>
      <c r="AE123">
        <v>3322</v>
      </c>
      <c r="AF123">
        <v>1926</v>
      </c>
      <c r="AG123">
        <v>781</v>
      </c>
      <c r="AH123">
        <v>107</v>
      </c>
      <c r="AI123" s="5">
        <v>50.346669405782997</v>
      </c>
      <c r="AJ123" s="5">
        <v>49.653330594217003</v>
      </c>
      <c r="AK123" s="5">
        <v>2.7887627754095798</v>
      </c>
      <c r="AL123" s="5">
        <v>14.4265831236197</v>
      </c>
      <c r="AM123" s="5">
        <v>17.1588516254943</v>
      </c>
      <c r="AN123" s="5">
        <v>15.099378562991101</v>
      </c>
      <c r="AO123" s="5">
        <v>19.012890966052101</v>
      </c>
      <c r="AP123" s="5">
        <v>17.061270607570201</v>
      </c>
      <c r="AQ123" s="5">
        <v>9.8916337116737694</v>
      </c>
      <c r="AR123" s="5">
        <v>4.0110934209850502</v>
      </c>
      <c r="AS123" s="5">
        <v>0.54953520620409801</v>
      </c>
    </row>
    <row r="124" spans="1:45" x14ac:dyDescent="0.25">
      <c r="A124" t="s">
        <v>317</v>
      </c>
      <c r="B124" t="s">
        <v>318</v>
      </c>
      <c r="C124" t="s">
        <v>217</v>
      </c>
      <c r="D124">
        <v>24.42</v>
      </c>
      <c r="E124" s="2">
        <f t="shared" si="12"/>
        <v>12842.233800000002</v>
      </c>
      <c r="F124">
        <v>24.58</v>
      </c>
      <c r="G124" s="2">
        <f t="shared" si="13"/>
        <v>12926.376199999999</v>
      </c>
      <c r="H124">
        <v>24.15</v>
      </c>
      <c r="I124" s="2">
        <f t="shared" si="14"/>
        <v>12700.243499999999</v>
      </c>
      <c r="J124">
        <v>13.51</v>
      </c>
      <c r="K124" s="2">
        <f t="shared" si="15"/>
        <v>7104.7739000000001</v>
      </c>
      <c r="L124">
        <v>10.35</v>
      </c>
      <c r="M124" s="2">
        <f t="shared" si="16"/>
        <v>5442.9615000000003</v>
      </c>
      <c r="N124">
        <v>1.05</v>
      </c>
      <c r="O124" s="2">
        <f t="shared" si="17"/>
        <v>552.18450000000007</v>
      </c>
      <c r="P124">
        <v>1.34</v>
      </c>
      <c r="Q124" s="2">
        <f t="shared" si="18"/>
        <v>704.69260000000008</v>
      </c>
      <c r="R124">
        <v>0.6</v>
      </c>
      <c r="S124" s="3">
        <f t="shared" si="19"/>
        <v>315.53399999999999</v>
      </c>
      <c r="T124" t="s">
        <v>218</v>
      </c>
      <c r="U124" s="4">
        <f t="shared" si="20"/>
        <v>52589</v>
      </c>
      <c r="V124" s="4">
        <f t="shared" si="21"/>
        <v>0</v>
      </c>
      <c r="W124">
        <v>52589</v>
      </c>
      <c r="X124">
        <v>26965</v>
      </c>
      <c r="Y124">
        <v>25624</v>
      </c>
      <c r="Z124">
        <v>1727</v>
      </c>
      <c r="AA124">
        <v>8794</v>
      </c>
      <c r="AB124">
        <v>10753</v>
      </c>
      <c r="AC124">
        <v>8570</v>
      </c>
      <c r="AD124">
        <v>8527</v>
      </c>
      <c r="AE124">
        <v>7481</v>
      </c>
      <c r="AF124">
        <v>4477</v>
      </c>
      <c r="AG124">
        <v>1938</v>
      </c>
      <c r="AH124">
        <v>322</v>
      </c>
      <c r="AI124" s="5">
        <v>51.274981460001101</v>
      </c>
      <c r="AJ124" s="5">
        <v>48.725018539998899</v>
      </c>
      <c r="AK124" s="5">
        <v>3.28395672098728</v>
      </c>
      <c r="AL124" s="5">
        <v>16.722128201715201</v>
      </c>
      <c r="AM124" s="5">
        <v>20.447241818631301</v>
      </c>
      <c r="AN124" s="5">
        <v>16.296183612542499</v>
      </c>
      <c r="AO124" s="5">
        <v>16.2144174637282</v>
      </c>
      <c r="AP124" s="5">
        <v>14.2254083553595</v>
      </c>
      <c r="AQ124" s="5">
        <v>8.5131871684192504</v>
      </c>
      <c r="AR124" s="5">
        <v>3.6851813116811498</v>
      </c>
      <c r="AS124" s="5">
        <v>0.612295346935671</v>
      </c>
    </row>
    <row r="125" spans="1:45" x14ac:dyDescent="0.25">
      <c r="A125" t="s">
        <v>319</v>
      </c>
      <c r="B125" t="s">
        <v>320</v>
      </c>
      <c r="C125" t="s">
        <v>147</v>
      </c>
      <c r="D125">
        <v>18.04</v>
      </c>
      <c r="E125" s="2">
        <f t="shared" si="12"/>
        <v>4878.3768</v>
      </c>
      <c r="F125">
        <v>32.630000000000003</v>
      </c>
      <c r="G125" s="2">
        <f t="shared" si="13"/>
        <v>8823.8046000000013</v>
      </c>
      <c r="H125">
        <v>24.14</v>
      </c>
      <c r="I125" s="2">
        <f t="shared" si="14"/>
        <v>6527.9387999999999</v>
      </c>
      <c r="J125">
        <v>13.54</v>
      </c>
      <c r="K125" s="2">
        <f t="shared" si="15"/>
        <v>3661.4868000000001</v>
      </c>
      <c r="L125">
        <v>8.9</v>
      </c>
      <c r="M125" s="2">
        <f t="shared" si="16"/>
        <v>2406.7380000000003</v>
      </c>
      <c r="N125">
        <v>1.02</v>
      </c>
      <c r="O125" s="2">
        <f t="shared" si="17"/>
        <v>275.82839999999999</v>
      </c>
      <c r="P125">
        <v>1.37</v>
      </c>
      <c r="Q125" s="2">
        <f t="shared" si="18"/>
        <v>370.47540000000004</v>
      </c>
      <c r="R125">
        <v>0.34</v>
      </c>
      <c r="S125" s="3">
        <f t="shared" si="19"/>
        <v>91.942800000000005</v>
      </c>
      <c r="T125" t="s">
        <v>148</v>
      </c>
      <c r="U125" s="4">
        <f t="shared" si="20"/>
        <v>27036.5916</v>
      </c>
      <c r="V125" s="4">
        <f t="shared" si="21"/>
        <v>-5.4084000000002561</v>
      </c>
      <c r="W125">
        <v>27042</v>
      </c>
      <c r="X125">
        <v>13397</v>
      </c>
      <c r="Y125">
        <v>13645</v>
      </c>
      <c r="Z125">
        <v>812</v>
      </c>
      <c r="AA125">
        <v>4108</v>
      </c>
      <c r="AB125">
        <v>5058</v>
      </c>
      <c r="AC125">
        <v>4278</v>
      </c>
      <c r="AD125">
        <v>4829</v>
      </c>
      <c r="AE125">
        <v>4333</v>
      </c>
      <c r="AF125">
        <v>2402</v>
      </c>
      <c r="AG125">
        <v>1051</v>
      </c>
      <c r="AH125">
        <v>171</v>
      </c>
      <c r="AI125" s="5">
        <v>49.541454034464898</v>
      </c>
      <c r="AJ125" s="5">
        <v>50.458545965535102</v>
      </c>
      <c r="AK125" s="5">
        <v>3.0027364839878699</v>
      </c>
      <c r="AL125" s="5">
        <v>15.1911840840175</v>
      </c>
      <c r="AM125" s="5">
        <v>18.704237852229902</v>
      </c>
      <c r="AN125" s="5">
        <v>15.819835810960701</v>
      </c>
      <c r="AO125" s="5">
        <v>17.857406996523899</v>
      </c>
      <c r="AP125" s="5">
        <v>16.023223134383599</v>
      </c>
      <c r="AQ125" s="5">
        <v>8.8824791065749604</v>
      </c>
      <c r="AR125" s="5">
        <v>3.8865468530434102</v>
      </c>
      <c r="AS125" s="5">
        <v>0.63234967827823396</v>
      </c>
    </row>
    <row r="126" spans="1:45" x14ac:dyDescent="0.25">
      <c r="A126" t="s">
        <v>321</v>
      </c>
      <c r="B126" t="s">
        <v>322</v>
      </c>
      <c r="C126" t="s">
        <v>93</v>
      </c>
      <c r="D126">
        <v>21.13</v>
      </c>
      <c r="E126" s="2">
        <f t="shared" si="12"/>
        <v>3585.5496999999996</v>
      </c>
      <c r="F126">
        <v>26.62</v>
      </c>
      <c r="G126" s="2">
        <f t="shared" si="13"/>
        <v>4517.1478000000006</v>
      </c>
      <c r="H126">
        <v>24.12</v>
      </c>
      <c r="I126" s="2">
        <f t="shared" si="14"/>
        <v>4092.9228000000003</v>
      </c>
      <c r="J126">
        <v>17.149999999999999</v>
      </c>
      <c r="K126" s="2">
        <f t="shared" si="15"/>
        <v>2910.1834999999996</v>
      </c>
      <c r="L126">
        <v>8.5500000000000007</v>
      </c>
      <c r="M126" s="2">
        <f t="shared" si="16"/>
        <v>1450.8495</v>
      </c>
      <c r="N126">
        <v>0.95</v>
      </c>
      <c r="O126" s="2">
        <f t="shared" si="17"/>
        <v>161.2055</v>
      </c>
      <c r="P126">
        <v>1.06</v>
      </c>
      <c r="Q126" s="2">
        <f t="shared" si="18"/>
        <v>179.87139999999999</v>
      </c>
      <c r="R126">
        <v>0.41</v>
      </c>
      <c r="S126" s="3">
        <f t="shared" si="19"/>
        <v>69.572900000000004</v>
      </c>
      <c r="T126" t="s">
        <v>94</v>
      </c>
      <c r="U126" s="4">
        <f t="shared" si="20"/>
        <v>16967.303099999997</v>
      </c>
      <c r="V126" s="4">
        <f t="shared" si="21"/>
        <v>-1.6969000000026426</v>
      </c>
      <c r="W126">
        <v>16969</v>
      </c>
      <c r="X126">
        <v>8584</v>
      </c>
      <c r="Y126">
        <v>8385</v>
      </c>
      <c r="Z126">
        <v>489</v>
      </c>
      <c r="AA126">
        <v>2731</v>
      </c>
      <c r="AB126">
        <v>3164</v>
      </c>
      <c r="AC126">
        <v>2745</v>
      </c>
      <c r="AD126">
        <v>3144</v>
      </c>
      <c r="AE126">
        <v>2549</v>
      </c>
      <c r="AF126">
        <v>1415</v>
      </c>
      <c r="AG126">
        <v>633</v>
      </c>
      <c r="AH126">
        <v>99</v>
      </c>
      <c r="AI126" s="5">
        <v>50.586363368495498</v>
      </c>
      <c r="AJ126" s="5">
        <v>49.413636631504502</v>
      </c>
      <c r="AK126" s="5">
        <v>2.8817254994401602</v>
      </c>
      <c r="AL126" s="5">
        <v>16.094053862926501</v>
      </c>
      <c r="AM126" s="5">
        <v>18.6457658082386</v>
      </c>
      <c r="AN126" s="5">
        <v>16.176557251458501</v>
      </c>
      <c r="AO126" s="5">
        <v>18.527903824621401</v>
      </c>
      <c r="AP126" s="5">
        <v>15.0215098120101</v>
      </c>
      <c r="AQ126" s="5">
        <v>8.3387353409157896</v>
      </c>
      <c r="AR126" s="5">
        <v>3.7303317814838799</v>
      </c>
      <c r="AS126" s="5">
        <v>0.58341681890506203</v>
      </c>
    </row>
    <row r="127" spans="1:45" x14ac:dyDescent="0.25">
      <c r="A127" t="s">
        <v>323</v>
      </c>
      <c r="B127" t="s">
        <v>324</v>
      </c>
      <c r="C127" t="s">
        <v>51</v>
      </c>
      <c r="D127">
        <v>25.01</v>
      </c>
      <c r="E127" s="2">
        <f t="shared" si="12"/>
        <v>41726.934099999999</v>
      </c>
      <c r="F127">
        <v>23.77</v>
      </c>
      <c r="G127" s="2">
        <f t="shared" si="13"/>
        <v>39658.1057</v>
      </c>
      <c r="H127">
        <v>24.11</v>
      </c>
      <c r="I127" s="2">
        <f t="shared" si="14"/>
        <v>40225.365099999995</v>
      </c>
      <c r="J127">
        <v>15.68</v>
      </c>
      <c r="K127" s="2">
        <f t="shared" si="15"/>
        <v>26160.668799999999</v>
      </c>
      <c r="L127">
        <v>8.3800000000000008</v>
      </c>
      <c r="M127" s="2">
        <f t="shared" si="16"/>
        <v>13981.275800000001</v>
      </c>
      <c r="N127">
        <v>1.35</v>
      </c>
      <c r="O127" s="2">
        <f t="shared" si="17"/>
        <v>2252.3535000000002</v>
      </c>
      <c r="P127">
        <v>1.1399999999999999</v>
      </c>
      <c r="Q127" s="2">
        <f t="shared" si="18"/>
        <v>1901.9874</v>
      </c>
      <c r="R127">
        <v>0.56000000000000005</v>
      </c>
      <c r="S127" s="3">
        <f t="shared" si="19"/>
        <v>934.30960000000005</v>
      </c>
      <c r="T127" t="s">
        <v>52</v>
      </c>
      <c r="U127" s="4">
        <f t="shared" si="20"/>
        <v>166841</v>
      </c>
      <c r="V127" s="4">
        <f t="shared" si="21"/>
        <v>0</v>
      </c>
      <c r="W127">
        <v>166841</v>
      </c>
      <c r="X127">
        <v>82396</v>
      </c>
      <c r="Y127">
        <v>84445</v>
      </c>
      <c r="Z127">
        <v>4921</v>
      </c>
      <c r="AA127">
        <v>24986</v>
      </c>
      <c r="AB127">
        <v>35952</v>
      </c>
      <c r="AC127">
        <v>33542</v>
      </c>
      <c r="AD127">
        <v>26544</v>
      </c>
      <c r="AE127">
        <v>22028</v>
      </c>
      <c r="AF127">
        <v>13054</v>
      </c>
      <c r="AG127">
        <v>4840</v>
      </c>
      <c r="AH127">
        <v>974</v>
      </c>
      <c r="AI127" s="5">
        <v>49.385942304349598</v>
      </c>
      <c r="AJ127" s="5">
        <v>50.614057695650402</v>
      </c>
      <c r="AK127" s="5">
        <v>2.9495148075113402</v>
      </c>
      <c r="AL127" s="5">
        <v>14.975935171810301</v>
      </c>
      <c r="AM127" s="5">
        <v>21.548660101533802</v>
      </c>
      <c r="AN127" s="5">
        <v>20.104171037095199</v>
      </c>
      <c r="AO127" s="5">
        <v>15.9097583927212</v>
      </c>
      <c r="AP127" s="5">
        <v>13.2029896728022</v>
      </c>
      <c r="AQ127" s="5">
        <v>7.8242158701997697</v>
      </c>
      <c r="AR127" s="5">
        <v>2.9009655899928699</v>
      </c>
      <c r="AS127" s="5">
        <v>0.583789356333275</v>
      </c>
    </row>
    <row r="128" spans="1:45" x14ac:dyDescent="0.25">
      <c r="A128" t="s">
        <v>325</v>
      </c>
      <c r="B128" t="s">
        <v>326</v>
      </c>
      <c r="C128" t="s">
        <v>81</v>
      </c>
      <c r="D128">
        <v>26.98</v>
      </c>
      <c r="E128" s="2">
        <f t="shared" si="12"/>
        <v>21004.199799999999</v>
      </c>
      <c r="F128">
        <v>22.53</v>
      </c>
      <c r="G128" s="2">
        <f t="shared" si="13"/>
        <v>17539.830300000001</v>
      </c>
      <c r="H128">
        <v>24.09</v>
      </c>
      <c r="I128" s="2">
        <f t="shared" si="14"/>
        <v>18754.305899999999</v>
      </c>
      <c r="J128">
        <v>12.88</v>
      </c>
      <c r="K128" s="2">
        <f t="shared" si="15"/>
        <v>10027.2088</v>
      </c>
      <c r="L128">
        <v>10.27</v>
      </c>
      <c r="M128" s="2">
        <f t="shared" si="16"/>
        <v>7995.2977000000001</v>
      </c>
      <c r="N128">
        <v>1.25</v>
      </c>
      <c r="O128" s="2">
        <f t="shared" si="17"/>
        <v>973.13750000000005</v>
      </c>
      <c r="P128">
        <v>1.26</v>
      </c>
      <c r="Q128" s="2">
        <f t="shared" si="18"/>
        <v>980.92259999999999</v>
      </c>
      <c r="R128">
        <v>0.74</v>
      </c>
      <c r="S128" s="3">
        <f t="shared" si="19"/>
        <v>576.09739999999999</v>
      </c>
      <c r="T128" t="s">
        <v>82</v>
      </c>
      <c r="U128" s="4">
        <f t="shared" si="20"/>
        <v>77851</v>
      </c>
      <c r="V128" s="4">
        <f t="shared" si="21"/>
        <v>0</v>
      </c>
      <c r="W128">
        <v>77851</v>
      </c>
      <c r="X128">
        <v>40531</v>
      </c>
      <c r="Y128">
        <v>37320</v>
      </c>
      <c r="Z128">
        <v>2312</v>
      </c>
      <c r="AA128">
        <v>12534</v>
      </c>
      <c r="AB128">
        <v>14301</v>
      </c>
      <c r="AC128">
        <v>11747</v>
      </c>
      <c r="AD128">
        <v>13774</v>
      </c>
      <c r="AE128">
        <v>12387</v>
      </c>
      <c r="AF128">
        <v>6784</v>
      </c>
      <c r="AG128">
        <v>3363</v>
      </c>
      <c r="AH128">
        <v>649</v>
      </c>
      <c r="AI128" s="5">
        <v>52.062272803175297</v>
      </c>
      <c r="AJ128" s="5">
        <v>47.937727196824703</v>
      </c>
      <c r="AK128" s="5">
        <v>2.9697755969737099</v>
      </c>
      <c r="AL128" s="5">
        <v>16.099985870444801</v>
      </c>
      <c r="AM128" s="5">
        <v>18.3697062337028</v>
      </c>
      <c r="AN128" s="5">
        <v>15.0890804228591</v>
      </c>
      <c r="AO128" s="5">
        <v>17.692772090275</v>
      </c>
      <c r="AP128" s="5">
        <v>15.911163633094001</v>
      </c>
      <c r="AQ128" s="5">
        <v>8.7140820284903207</v>
      </c>
      <c r="AR128" s="5">
        <v>4.3197903687813897</v>
      </c>
      <c r="AS128" s="5">
        <v>0.83364375537886504</v>
      </c>
    </row>
    <row r="129" spans="1:45" x14ac:dyDescent="0.25">
      <c r="A129" t="s">
        <v>327</v>
      </c>
      <c r="B129" t="s">
        <v>328</v>
      </c>
      <c r="C129" t="s">
        <v>93</v>
      </c>
      <c r="D129">
        <v>26</v>
      </c>
      <c r="E129" s="2">
        <f t="shared" si="12"/>
        <v>11263.46</v>
      </c>
      <c r="F129">
        <v>24.09</v>
      </c>
      <c r="G129" s="2">
        <f t="shared" si="13"/>
        <v>10436.028899999999</v>
      </c>
      <c r="H129">
        <v>24.06</v>
      </c>
      <c r="I129" s="2">
        <f t="shared" si="14"/>
        <v>10423.032599999999</v>
      </c>
      <c r="J129">
        <v>13.31</v>
      </c>
      <c r="K129" s="2">
        <f t="shared" si="15"/>
        <v>5766.0250999999998</v>
      </c>
      <c r="L129">
        <v>9.39</v>
      </c>
      <c r="M129" s="2">
        <f t="shared" si="16"/>
        <v>4067.8418999999999</v>
      </c>
      <c r="N129">
        <v>1.26</v>
      </c>
      <c r="O129" s="2">
        <f t="shared" si="17"/>
        <v>545.84460000000001</v>
      </c>
      <c r="P129">
        <v>1.17</v>
      </c>
      <c r="Q129" s="2">
        <f t="shared" si="18"/>
        <v>506.85570000000001</v>
      </c>
      <c r="R129">
        <v>0.71</v>
      </c>
      <c r="S129" s="3">
        <f t="shared" si="19"/>
        <v>307.57909999999998</v>
      </c>
      <c r="T129" t="s">
        <v>94</v>
      </c>
      <c r="U129" s="4">
        <f t="shared" si="20"/>
        <v>43316.667899999993</v>
      </c>
      <c r="V129" s="4">
        <f t="shared" si="21"/>
        <v>-4.3321000000069034</v>
      </c>
      <c r="W129">
        <v>43321</v>
      </c>
      <c r="X129">
        <v>21999</v>
      </c>
      <c r="Y129">
        <v>21322</v>
      </c>
      <c r="Z129">
        <v>1378</v>
      </c>
      <c r="AA129">
        <v>6825</v>
      </c>
      <c r="AB129">
        <v>8623</v>
      </c>
      <c r="AC129">
        <v>7928</v>
      </c>
      <c r="AD129">
        <v>7353</v>
      </c>
      <c r="AE129">
        <v>5603</v>
      </c>
      <c r="AF129">
        <v>3373</v>
      </c>
      <c r="AG129">
        <v>1932</v>
      </c>
      <c r="AH129">
        <v>306</v>
      </c>
      <c r="AI129" s="5">
        <v>50.781376237852299</v>
      </c>
      <c r="AJ129" s="5">
        <v>49.218623762147701</v>
      </c>
      <c r="AK129" s="5">
        <v>3.1809053345952298</v>
      </c>
      <c r="AL129" s="5">
        <v>15.7544839685141</v>
      </c>
      <c r="AM129" s="5">
        <v>19.9048960088641</v>
      </c>
      <c r="AN129" s="5">
        <v>18.3005932457699</v>
      </c>
      <c r="AO129" s="5">
        <v>16.9732923986058</v>
      </c>
      <c r="AP129" s="5">
        <v>12.9336811246278</v>
      </c>
      <c r="AQ129" s="5">
        <v>7.7860621869301303</v>
      </c>
      <c r="AR129" s="5">
        <v>4.4597308464716896</v>
      </c>
      <c r="AS129" s="5">
        <v>0.70635488562129201</v>
      </c>
    </row>
    <row r="130" spans="1:45" x14ac:dyDescent="0.25">
      <c r="A130" t="s">
        <v>329</v>
      </c>
      <c r="B130" t="s">
        <v>330</v>
      </c>
      <c r="C130" t="s">
        <v>81</v>
      </c>
      <c r="D130">
        <v>24.48</v>
      </c>
      <c r="E130" s="2">
        <f t="shared" si="12"/>
        <v>31870.756800000003</v>
      </c>
      <c r="F130">
        <v>23.35</v>
      </c>
      <c r="G130" s="2">
        <f t="shared" si="13"/>
        <v>30399.5985</v>
      </c>
      <c r="H130">
        <v>24.01</v>
      </c>
      <c r="I130" s="2">
        <f t="shared" si="14"/>
        <v>31258.859100000001</v>
      </c>
      <c r="J130">
        <v>14.6</v>
      </c>
      <c r="K130" s="2">
        <f t="shared" si="15"/>
        <v>19007.885999999999</v>
      </c>
      <c r="L130">
        <v>10.35</v>
      </c>
      <c r="M130" s="2">
        <f t="shared" si="16"/>
        <v>13474.768499999998</v>
      </c>
      <c r="N130">
        <v>1.37</v>
      </c>
      <c r="O130" s="2">
        <f t="shared" si="17"/>
        <v>1783.6167</v>
      </c>
      <c r="P130">
        <v>1.1200000000000001</v>
      </c>
      <c r="Q130" s="2">
        <f t="shared" si="18"/>
        <v>1458.1392000000001</v>
      </c>
      <c r="R130">
        <v>0.72</v>
      </c>
      <c r="S130" s="3">
        <f t="shared" si="19"/>
        <v>937.37519999999995</v>
      </c>
      <c r="T130" t="s">
        <v>82</v>
      </c>
      <c r="U130" s="4">
        <f t="shared" si="20"/>
        <v>130191</v>
      </c>
      <c r="V130" s="4">
        <f t="shared" si="21"/>
        <v>0</v>
      </c>
      <c r="W130">
        <v>130191</v>
      </c>
      <c r="X130">
        <v>66447</v>
      </c>
      <c r="Y130">
        <v>63744</v>
      </c>
      <c r="Z130">
        <v>4159</v>
      </c>
      <c r="AA130">
        <v>20463</v>
      </c>
      <c r="AB130">
        <v>23938</v>
      </c>
      <c r="AC130">
        <v>20852</v>
      </c>
      <c r="AD130">
        <v>21461</v>
      </c>
      <c r="AE130">
        <v>20844</v>
      </c>
      <c r="AF130">
        <v>12353</v>
      </c>
      <c r="AG130">
        <v>5055</v>
      </c>
      <c r="AH130">
        <v>1066</v>
      </c>
      <c r="AI130" s="5">
        <v>51.038090190566201</v>
      </c>
      <c r="AJ130" s="5">
        <v>48.961909809433799</v>
      </c>
      <c r="AK130" s="5">
        <v>3.19453725679963</v>
      </c>
      <c r="AL130" s="5">
        <v>15.717676337074</v>
      </c>
      <c r="AM130" s="5">
        <v>18.386831655029901</v>
      </c>
      <c r="AN130" s="5">
        <v>16.016468112235099</v>
      </c>
      <c r="AO130" s="5">
        <v>16.484242382345901</v>
      </c>
      <c r="AP130" s="5">
        <v>16.010323294236901</v>
      </c>
      <c r="AQ130" s="5">
        <v>9.4883670914272091</v>
      </c>
      <c r="AR130" s="5">
        <v>3.88275687259488</v>
      </c>
      <c r="AS130" s="5">
        <v>0.81879699825640795</v>
      </c>
    </row>
    <row r="131" spans="1:45" x14ac:dyDescent="0.25">
      <c r="A131" t="s">
        <v>331</v>
      </c>
      <c r="B131" t="s">
        <v>332</v>
      </c>
      <c r="C131" t="s">
        <v>217</v>
      </c>
      <c r="D131">
        <v>25.46</v>
      </c>
      <c r="E131" s="2">
        <f t="shared" ref="E131:E194" si="22">D131*W131/100</f>
        <v>4995.2520000000004</v>
      </c>
      <c r="F131">
        <v>24.29</v>
      </c>
      <c r="G131" s="2">
        <f t="shared" ref="G131:G194" si="23">F131*W131/100</f>
        <v>4765.6980000000003</v>
      </c>
      <c r="H131">
        <v>23.98</v>
      </c>
      <c r="I131" s="2">
        <f t="shared" ref="I131:I194" si="24">H131*W131/100</f>
        <v>4704.8760000000002</v>
      </c>
      <c r="J131">
        <v>13.38</v>
      </c>
      <c r="K131" s="2">
        <f t="shared" ref="K131:K194" si="25">J131*W131/100</f>
        <v>2625.1560000000004</v>
      </c>
      <c r="L131">
        <v>9.93</v>
      </c>
      <c r="M131" s="2">
        <f t="shared" ref="M131:M194" si="26">L131*W131/100</f>
        <v>1948.2660000000001</v>
      </c>
      <c r="N131">
        <v>1.26</v>
      </c>
      <c r="O131" s="2">
        <f t="shared" ref="O131:O194" si="27">N131*W131/100</f>
        <v>247.21200000000002</v>
      </c>
      <c r="P131">
        <v>1.2</v>
      </c>
      <c r="Q131" s="2">
        <f t="shared" ref="Q131:Q194" si="28">P131*W131/100</f>
        <v>235.44</v>
      </c>
      <c r="R131">
        <v>0.49</v>
      </c>
      <c r="S131" s="3">
        <f t="shared" ref="S131:S194" si="29">R131*W131/100</f>
        <v>96.137999999999991</v>
      </c>
      <c r="T131" t="s">
        <v>218</v>
      </c>
      <c r="U131" s="4">
        <f t="shared" si="20"/>
        <v>19618.038</v>
      </c>
      <c r="V131" s="4">
        <f t="shared" si="21"/>
        <v>-1.9619999999995343</v>
      </c>
      <c r="W131">
        <v>19620</v>
      </c>
      <c r="X131">
        <v>9866</v>
      </c>
      <c r="Y131">
        <v>9754</v>
      </c>
      <c r="Z131">
        <v>656</v>
      </c>
      <c r="AA131">
        <v>3252</v>
      </c>
      <c r="AB131">
        <v>3624</v>
      </c>
      <c r="AC131">
        <v>3323</v>
      </c>
      <c r="AD131">
        <v>3309</v>
      </c>
      <c r="AE131">
        <v>2855</v>
      </c>
      <c r="AF131">
        <v>1739</v>
      </c>
      <c r="AG131">
        <v>721</v>
      </c>
      <c r="AH131">
        <v>141</v>
      </c>
      <c r="AI131" s="5">
        <v>50.285423037716598</v>
      </c>
      <c r="AJ131" s="5">
        <v>49.714576962283402</v>
      </c>
      <c r="AK131" s="5">
        <v>3.34352701325178</v>
      </c>
      <c r="AL131" s="5">
        <v>16.574923547400601</v>
      </c>
      <c r="AM131" s="5">
        <v>18.470948012232402</v>
      </c>
      <c r="AN131" s="5">
        <v>16.936799184505599</v>
      </c>
      <c r="AO131" s="5">
        <v>16.8654434250764</v>
      </c>
      <c r="AP131" s="5">
        <v>14.551478083588201</v>
      </c>
      <c r="AQ131" s="5">
        <v>8.8634046890927607</v>
      </c>
      <c r="AR131" s="5">
        <v>3.67482161060143</v>
      </c>
      <c r="AS131" s="5">
        <v>0.71865443425076403</v>
      </c>
    </row>
    <row r="132" spans="1:45" x14ac:dyDescent="0.25">
      <c r="A132" t="s">
        <v>333</v>
      </c>
      <c r="B132" t="s">
        <v>334</v>
      </c>
      <c r="C132" t="s">
        <v>207</v>
      </c>
      <c r="D132">
        <v>20.34</v>
      </c>
      <c r="E132" s="2">
        <f t="shared" si="22"/>
        <v>2193.6689999999999</v>
      </c>
      <c r="F132">
        <v>33.22</v>
      </c>
      <c r="G132" s="2">
        <f t="shared" si="23"/>
        <v>3582.777</v>
      </c>
      <c r="H132">
        <v>23.89</v>
      </c>
      <c r="I132" s="2">
        <f t="shared" si="24"/>
        <v>2576.5365000000002</v>
      </c>
      <c r="J132">
        <v>11.51</v>
      </c>
      <c r="K132" s="2">
        <f t="shared" si="25"/>
        <v>1241.3534999999999</v>
      </c>
      <c r="L132">
        <v>8.73</v>
      </c>
      <c r="M132" s="2">
        <f t="shared" si="26"/>
        <v>941.53050000000007</v>
      </c>
      <c r="N132">
        <v>0.66</v>
      </c>
      <c r="O132" s="2">
        <f t="shared" si="27"/>
        <v>71.180999999999997</v>
      </c>
      <c r="P132">
        <v>1.1100000000000001</v>
      </c>
      <c r="Q132" s="2">
        <f t="shared" si="28"/>
        <v>119.71350000000001</v>
      </c>
      <c r="R132">
        <v>0.53</v>
      </c>
      <c r="S132" s="3">
        <f t="shared" si="29"/>
        <v>57.160499999999999</v>
      </c>
      <c r="T132" t="s">
        <v>208</v>
      </c>
      <c r="U132" s="4">
        <f t="shared" ref="U132:U195" si="30">SUM(S132,Q132,O132,M132,K132,I132,G132,E132)</f>
        <v>10783.9215</v>
      </c>
      <c r="V132" s="4">
        <f t="shared" ref="V132:V195" si="31">U132-W132</f>
        <v>-1.0784999999996217</v>
      </c>
      <c r="W132">
        <v>10785</v>
      </c>
      <c r="X132">
        <v>5472</v>
      </c>
      <c r="Y132">
        <v>5313</v>
      </c>
      <c r="Z132">
        <v>319</v>
      </c>
      <c r="AA132">
        <v>1454</v>
      </c>
      <c r="AB132">
        <v>1863</v>
      </c>
      <c r="AC132">
        <v>1722</v>
      </c>
      <c r="AD132">
        <v>2001</v>
      </c>
      <c r="AE132">
        <v>1640</v>
      </c>
      <c r="AF132">
        <v>1129</v>
      </c>
      <c r="AG132">
        <v>551</v>
      </c>
      <c r="AH132">
        <v>106</v>
      </c>
      <c r="AI132" s="5">
        <v>50.737134909596698</v>
      </c>
      <c r="AJ132" s="5">
        <v>49.262865090403302</v>
      </c>
      <c r="AK132" s="5">
        <v>2.9578117756142799</v>
      </c>
      <c r="AL132" s="5">
        <v>13.481687528975399</v>
      </c>
      <c r="AM132" s="5">
        <v>17.2739916550765</v>
      </c>
      <c r="AN132" s="5">
        <v>15.9666203059805</v>
      </c>
      <c r="AO132" s="5">
        <v>18.553546592489599</v>
      </c>
      <c r="AP132" s="5">
        <v>15.2063050533148</v>
      </c>
      <c r="AQ132" s="5">
        <v>10.4682429299954</v>
      </c>
      <c r="AR132" s="5">
        <v>5.10894761242466</v>
      </c>
      <c r="AS132" s="5">
        <v>0.982846546128883</v>
      </c>
    </row>
    <row r="133" spans="1:45" x14ac:dyDescent="0.25">
      <c r="A133" t="s">
        <v>335</v>
      </c>
      <c r="B133" t="s">
        <v>336</v>
      </c>
      <c r="C133" t="s">
        <v>113</v>
      </c>
      <c r="D133">
        <v>27.04</v>
      </c>
      <c r="E133" s="2">
        <f t="shared" si="22"/>
        <v>15356.286399999999</v>
      </c>
      <c r="F133">
        <v>20.22</v>
      </c>
      <c r="G133" s="2">
        <f t="shared" si="23"/>
        <v>11483.1402</v>
      </c>
      <c r="H133">
        <v>23.83</v>
      </c>
      <c r="I133" s="2">
        <f t="shared" si="24"/>
        <v>13533.295299999998</v>
      </c>
      <c r="J133">
        <v>13.98</v>
      </c>
      <c r="K133" s="2">
        <f t="shared" si="25"/>
        <v>7939.3818000000001</v>
      </c>
      <c r="L133">
        <v>11.76</v>
      </c>
      <c r="M133" s="2">
        <f t="shared" si="26"/>
        <v>6678.6216000000004</v>
      </c>
      <c r="N133">
        <v>1.4</v>
      </c>
      <c r="O133" s="2">
        <f t="shared" si="27"/>
        <v>795.07399999999996</v>
      </c>
      <c r="P133">
        <v>1.25</v>
      </c>
      <c r="Q133" s="2">
        <f t="shared" si="28"/>
        <v>709.88750000000005</v>
      </c>
      <c r="R133">
        <v>0.52</v>
      </c>
      <c r="S133" s="3">
        <f t="shared" si="29"/>
        <v>295.31319999999999</v>
      </c>
      <c r="T133" t="s">
        <v>114</v>
      </c>
      <c r="U133" s="4">
        <f t="shared" si="30"/>
        <v>56790.999999999993</v>
      </c>
      <c r="V133" s="4">
        <f t="shared" si="31"/>
        <v>0</v>
      </c>
      <c r="W133">
        <v>56791</v>
      </c>
      <c r="X133">
        <v>29219</v>
      </c>
      <c r="Y133">
        <v>27572</v>
      </c>
      <c r="Z133">
        <v>1746</v>
      </c>
      <c r="AA133">
        <v>9455</v>
      </c>
      <c r="AB133">
        <v>10849</v>
      </c>
      <c r="AC133">
        <v>9494</v>
      </c>
      <c r="AD133">
        <v>9102</v>
      </c>
      <c r="AE133">
        <v>7992</v>
      </c>
      <c r="AF133">
        <v>5345</v>
      </c>
      <c r="AG133">
        <v>2352</v>
      </c>
      <c r="AH133">
        <v>456</v>
      </c>
      <c r="AI133" s="5">
        <v>51.450053705692802</v>
      </c>
      <c r="AJ133" s="5">
        <v>48.549946294307198</v>
      </c>
      <c r="AK133" s="5">
        <v>3.0744308076984002</v>
      </c>
      <c r="AL133" s="5">
        <v>16.648764769065501</v>
      </c>
      <c r="AM133" s="5">
        <v>19.1033790565406</v>
      </c>
      <c r="AN133" s="5">
        <v>16.7174376221584</v>
      </c>
      <c r="AO133" s="5">
        <v>16.027187406455202</v>
      </c>
      <c r="AP133" s="5">
        <v>14.072652356887501</v>
      </c>
      <c r="AQ133" s="5">
        <v>9.4117025585039897</v>
      </c>
      <c r="AR133" s="5">
        <v>4.1415012942191503</v>
      </c>
      <c r="AS133" s="5">
        <v>0.802944128471061</v>
      </c>
    </row>
    <row r="134" spans="1:45" x14ac:dyDescent="0.25">
      <c r="A134" t="s">
        <v>337</v>
      </c>
      <c r="B134" t="s">
        <v>338</v>
      </c>
      <c r="C134" t="s">
        <v>113</v>
      </c>
      <c r="D134">
        <v>28.01</v>
      </c>
      <c r="E134" s="2">
        <f t="shared" si="22"/>
        <v>8009.4595000000008</v>
      </c>
      <c r="F134">
        <v>18.739999999999998</v>
      </c>
      <c r="G134" s="2">
        <f t="shared" si="23"/>
        <v>5358.7029999999995</v>
      </c>
      <c r="H134">
        <v>23.81</v>
      </c>
      <c r="I134" s="2">
        <f t="shared" si="24"/>
        <v>6808.4694999999992</v>
      </c>
      <c r="J134">
        <v>15.19</v>
      </c>
      <c r="K134" s="2">
        <f t="shared" si="25"/>
        <v>4343.5805</v>
      </c>
      <c r="L134">
        <v>10.68</v>
      </c>
      <c r="M134" s="2">
        <f t="shared" si="26"/>
        <v>3053.9459999999999</v>
      </c>
      <c r="N134">
        <v>1.24</v>
      </c>
      <c r="O134" s="2">
        <f t="shared" si="27"/>
        <v>354.57800000000003</v>
      </c>
      <c r="P134">
        <v>1.64</v>
      </c>
      <c r="Q134" s="2">
        <f t="shared" si="28"/>
        <v>468.95799999999997</v>
      </c>
      <c r="R134">
        <v>0.68</v>
      </c>
      <c r="S134" s="3">
        <f t="shared" si="29"/>
        <v>194.44600000000003</v>
      </c>
      <c r="T134" t="s">
        <v>114</v>
      </c>
      <c r="U134" s="4">
        <f t="shared" si="30"/>
        <v>28592.140499999998</v>
      </c>
      <c r="V134" s="4">
        <f t="shared" si="31"/>
        <v>-2.8595000000022992</v>
      </c>
      <c r="W134">
        <v>28595</v>
      </c>
      <c r="X134">
        <v>14619</v>
      </c>
      <c r="Y134">
        <v>13976</v>
      </c>
      <c r="Z134">
        <v>930</v>
      </c>
      <c r="AA134">
        <v>4607</v>
      </c>
      <c r="AB134">
        <v>5159</v>
      </c>
      <c r="AC134">
        <v>4611</v>
      </c>
      <c r="AD134">
        <v>4529</v>
      </c>
      <c r="AE134">
        <v>4481</v>
      </c>
      <c r="AF134">
        <v>2711</v>
      </c>
      <c r="AG134">
        <v>1316</v>
      </c>
      <c r="AH134">
        <v>251</v>
      </c>
      <c r="AI134" s="5">
        <v>51.124322433991999</v>
      </c>
      <c r="AJ134" s="5">
        <v>48.875677566008001</v>
      </c>
      <c r="AK134" s="5">
        <v>3.25231683860815</v>
      </c>
      <c r="AL134" s="5">
        <v>16.111208253191101</v>
      </c>
      <c r="AM134" s="5">
        <v>18.041615667074701</v>
      </c>
      <c r="AN134" s="5">
        <v>16.125196712712</v>
      </c>
      <c r="AO134" s="5">
        <v>15.838433292533701</v>
      </c>
      <c r="AP134" s="5">
        <v>15.6705717782829</v>
      </c>
      <c r="AQ134" s="5">
        <v>9.4806784402867592</v>
      </c>
      <c r="AR134" s="5">
        <v>4.6022031823745397</v>
      </c>
      <c r="AS134" s="5">
        <v>0.87777583493617795</v>
      </c>
    </row>
    <row r="135" spans="1:45" x14ac:dyDescent="0.25">
      <c r="A135" t="s">
        <v>339</v>
      </c>
      <c r="B135" t="s">
        <v>340</v>
      </c>
      <c r="C135" t="s">
        <v>141</v>
      </c>
      <c r="D135">
        <v>15.37</v>
      </c>
      <c r="E135" s="2">
        <f t="shared" si="22"/>
        <v>7295.8315999999995</v>
      </c>
      <c r="F135">
        <v>36.11</v>
      </c>
      <c r="G135" s="2">
        <f t="shared" si="23"/>
        <v>17140.694800000001</v>
      </c>
      <c r="H135">
        <v>23.68</v>
      </c>
      <c r="I135" s="2">
        <f t="shared" si="24"/>
        <v>11240.422399999999</v>
      </c>
      <c r="J135">
        <v>15.41</v>
      </c>
      <c r="K135" s="2">
        <f t="shared" si="25"/>
        <v>7314.8188</v>
      </c>
      <c r="L135">
        <v>7.43</v>
      </c>
      <c r="M135" s="2">
        <f t="shared" si="26"/>
        <v>3526.8723999999997</v>
      </c>
      <c r="N135">
        <v>0.76</v>
      </c>
      <c r="O135" s="2">
        <f t="shared" si="27"/>
        <v>360.7568</v>
      </c>
      <c r="P135">
        <v>0.8</v>
      </c>
      <c r="Q135" s="2">
        <f t="shared" si="28"/>
        <v>379.74400000000003</v>
      </c>
      <c r="R135">
        <v>0.42</v>
      </c>
      <c r="S135" s="3">
        <f t="shared" si="29"/>
        <v>199.36559999999997</v>
      </c>
      <c r="T135" t="s">
        <v>142</v>
      </c>
      <c r="U135" s="4">
        <f t="shared" si="30"/>
        <v>47458.506399999998</v>
      </c>
      <c r="V135" s="4">
        <f t="shared" si="31"/>
        <v>-9.4936000000016065</v>
      </c>
      <c r="W135">
        <v>47468</v>
      </c>
      <c r="X135">
        <v>24619</v>
      </c>
      <c r="Y135">
        <v>22849</v>
      </c>
      <c r="Z135">
        <v>1635</v>
      </c>
      <c r="AA135">
        <v>7334</v>
      </c>
      <c r="AB135">
        <v>8930</v>
      </c>
      <c r="AC135">
        <v>7661</v>
      </c>
      <c r="AD135">
        <v>8144</v>
      </c>
      <c r="AE135">
        <v>7066</v>
      </c>
      <c r="AF135">
        <v>4246</v>
      </c>
      <c r="AG135">
        <v>2035</v>
      </c>
      <c r="AH135">
        <v>417</v>
      </c>
      <c r="AI135" s="5">
        <v>51.864413920957297</v>
      </c>
      <c r="AJ135" s="5">
        <v>48.135586079042703</v>
      </c>
      <c r="AK135" s="5">
        <v>3.4444257183786999</v>
      </c>
      <c r="AL135" s="5">
        <v>15.450408696384899</v>
      </c>
      <c r="AM135" s="5">
        <v>18.812673801297699</v>
      </c>
      <c r="AN135" s="5">
        <v>16.139293840060699</v>
      </c>
      <c r="AO135" s="5">
        <v>17.156821437600101</v>
      </c>
      <c r="AP135" s="5">
        <v>14.8858178141063</v>
      </c>
      <c r="AQ135" s="5">
        <v>8.9449734558018008</v>
      </c>
      <c r="AR135" s="5">
        <v>4.2870986770034598</v>
      </c>
      <c r="AS135" s="5">
        <v>0.87848655936631004</v>
      </c>
    </row>
    <row r="136" spans="1:45" x14ac:dyDescent="0.25">
      <c r="A136" t="s">
        <v>341</v>
      </c>
      <c r="B136" t="s">
        <v>342</v>
      </c>
      <c r="C136" t="s">
        <v>233</v>
      </c>
      <c r="D136">
        <v>26.65</v>
      </c>
      <c r="E136" s="2">
        <f t="shared" si="22"/>
        <v>8033.3760000000002</v>
      </c>
      <c r="F136">
        <v>22.88</v>
      </c>
      <c r="G136" s="2">
        <f t="shared" si="23"/>
        <v>6896.9471999999996</v>
      </c>
      <c r="H136">
        <v>23.59</v>
      </c>
      <c r="I136" s="2">
        <f t="shared" si="24"/>
        <v>7110.9695999999994</v>
      </c>
      <c r="J136">
        <v>13.68</v>
      </c>
      <c r="K136" s="2">
        <f t="shared" si="25"/>
        <v>4123.6992</v>
      </c>
      <c r="L136">
        <v>10.050000000000001</v>
      </c>
      <c r="M136" s="2">
        <f t="shared" si="26"/>
        <v>3029.4720000000002</v>
      </c>
      <c r="N136">
        <v>1.1000000000000001</v>
      </c>
      <c r="O136" s="2">
        <f t="shared" si="27"/>
        <v>331.584</v>
      </c>
      <c r="P136">
        <v>1.39</v>
      </c>
      <c r="Q136" s="2">
        <f t="shared" si="28"/>
        <v>419.00159999999994</v>
      </c>
      <c r="R136">
        <v>0.67</v>
      </c>
      <c r="S136" s="3">
        <f t="shared" si="29"/>
        <v>201.9648</v>
      </c>
      <c r="T136" t="s">
        <v>234</v>
      </c>
      <c r="U136" s="4">
        <f t="shared" si="30"/>
        <v>30147.0144</v>
      </c>
      <c r="V136" s="4">
        <f t="shared" si="31"/>
        <v>3.0144000000000233</v>
      </c>
      <c r="W136">
        <v>30144</v>
      </c>
      <c r="X136">
        <v>15398</v>
      </c>
      <c r="Y136">
        <v>14746</v>
      </c>
      <c r="Z136">
        <v>1008</v>
      </c>
      <c r="AA136">
        <v>5047</v>
      </c>
      <c r="AB136">
        <v>6147</v>
      </c>
      <c r="AC136">
        <v>5069</v>
      </c>
      <c r="AD136">
        <v>4867</v>
      </c>
      <c r="AE136">
        <v>4346</v>
      </c>
      <c r="AF136">
        <v>2449</v>
      </c>
      <c r="AG136">
        <v>1023</v>
      </c>
      <c r="AH136">
        <v>188</v>
      </c>
      <c r="AI136" s="5">
        <v>51.081475583864098</v>
      </c>
      <c r="AJ136" s="5">
        <v>48.918524416135902</v>
      </c>
      <c r="AK136" s="5">
        <v>3.3439490445859898</v>
      </c>
      <c r="AL136" s="5">
        <v>16.7429670912951</v>
      </c>
      <c r="AM136" s="5">
        <v>20.392117834394899</v>
      </c>
      <c r="AN136" s="5">
        <v>16.8159501061571</v>
      </c>
      <c r="AO136" s="5">
        <v>16.1458333333333</v>
      </c>
      <c r="AP136" s="5">
        <v>14.417462845010601</v>
      </c>
      <c r="AQ136" s="5">
        <v>8.1243365180467109</v>
      </c>
      <c r="AR136" s="5">
        <v>3.3937101910827998</v>
      </c>
      <c r="AS136" s="5">
        <v>0.62367303609341795</v>
      </c>
    </row>
    <row r="137" spans="1:45" x14ac:dyDescent="0.25">
      <c r="A137" t="s">
        <v>343</v>
      </c>
      <c r="B137" t="s">
        <v>344</v>
      </c>
      <c r="C137" t="s">
        <v>233</v>
      </c>
      <c r="D137">
        <v>24.76</v>
      </c>
      <c r="E137" s="2">
        <f t="shared" si="22"/>
        <v>3962.3428000000004</v>
      </c>
      <c r="F137">
        <v>23.93</v>
      </c>
      <c r="G137" s="2">
        <f t="shared" si="23"/>
        <v>3829.5178999999998</v>
      </c>
      <c r="H137">
        <v>23.49</v>
      </c>
      <c r="I137" s="2">
        <f t="shared" si="24"/>
        <v>3759.1046999999999</v>
      </c>
      <c r="J137">
        <v>16.16</v>
      </c>
      <c r="K137" s="2">
        <f t="shared" si="25"/>
        <v>2586.0848000000001</v>
      </c>
      <c r="L137">
        <v>9.02</v>
      </c>
      <c r="M137" s="2">
        <f t="shared" si="26"/>
        <v>1443.4705999999999</v>
      </c>
      <c r="N137">
        <v>1.07</v>
      </c>
      <c r="O137" s="2">
        <f t="shared" si="27"/>
        <v>171.23210000000003</v>
      </c>
      <c r="P137">
        <v>1.08</v>
      </c>
      <c r="Q137" s="2">
        <f t="shared" si="28"/>
        <v>172.83240000000001</v>
      </c>
      <c r="R137">
        <v>0.49</v>
      </c>
      <c r="S137" s="3">
        <f t="shared" si="29"/>
        <v>78.414699999999996</v>
      </c>
      <c r="T137" t="s">
        <v>234</v>
      </c>
      <c r="U137" s="4">
        <f t="shared" si="30"/>
        <v>16002.999999999998</v>
      </c>
      <c r="V137" s="4">
        <f t="shared" si="31"/>
        <v>0</v>
      </c>
      <c r="W137">
        <v>16003</v>
      </c>
      <c r="X137">
        <v>7962</v>
      </c>
      <c r="Y137">
        <v>8041</v>
      </c>
      <c r="Z137">
        <v>577</v>
      </c>
      <c r="AA137">
        <v>2626</v>
      </c>
      <c r="AB137">
        <v>3316</v>
      </c>
      <c r="AC137">
        <v>2689</v>
      </c>
      <c r="AD137">
        <v>2563</v>
      </c>
      <c r="AE137">
        <v>2339</v>
      </c>
      <c r="AF137">
        <v>1257</v>
      </c>
      <c r="AG137">
        <v>534</v>
      </c>
      <c r="AH137">
        <v>102</v>
      </c>
      <c r="AI137" s="5">
        <v>49.753171280384898</v>
      </c>
      <c r="AJ137" s="5">
        <v>50.246828719615102</v>
      </c>
      <c r="AK137" s="5">
        <v>3.60557395488346</v>
      </c>
      <c r="AL137" s="5">
        <v>16.409423233143801</v>
      </c>
      <c r="AM137" s="5">
        <v>20.721114790976699</v>
      </c>
      <c r="AN137" s="5">
        <v>16.803099418858999</v>
      </c>
      <c r="AO137" s="5">
        <v>16.015747047428601</v>
      </c>
      <c r="AP137" s="5">
        <v>14.6160094982191</v>
      </c>
      <c r="AQ137" s="5">
        <v>7.8547772292695104</v>
      </c>
      <c r="AR137" s="5">
        <v>3.3368743360619901</v>
      </c>
      <c r="AS137" s="5">
        <v>0.63738049115790796</v>
      </c>
    </row>
    <row r="138" spans="1:45" x14ac:dyDescent="0.25">
      <c r="A138" t="s">
        <v>345</v>
      </c>
      <c r="B138" t="s">
        <v>346</v>
      </c>
      <c r="C138" t="s">
        <v>81</v>
      </c>
      <c r="D138">
        <v>22.2</v>
      </c>
      <c r="E138" s="2">
        <f t="shared" si="22"/>
        <v>22912.841999999997</v>
      </c>
      <c r="F138">
        <v>24.9</v>
      </c>
      <c r="G138" s="2">
        <f t="shared" si="23"/>
        <v>25699.539000000001</v>
      </c>
      <c r="H138">
        <v>23.49</v>
      </c>
      <c r="I138" s="2">
        <f t="shared" si="24"/>
        <v>24244.263899999998</v>
      </c>
      <c r="J138">
        <v>12.56</v>
      </c>
      <c r="K138" s="2">
        <f t="shared" si="25"/>
        <v>12963.301600000001</v>
      </c>
      <c r="L138">
        <v>13.73</v>
      </c>
      <c r="M138" s="2">
        <f t="shared" si="26"/>
        <v>14170.8703</v>
      </c>
      <c r="N138">
        <v>1.45</v>
      </c>
      <c r="O138" s="2">
        <f t="shared" si="27"/>
        <v>1496.5594999999998</v>
      </c>
      <c r="P138">
        <v>1.01</v>
      </c>
      <c r="Q138" s="2">
        <f t="shared" si="28"/>
        <v>1042.4311</v>
      </c>
      <c r="R138">
        <v>0.67</v>
      </c>
      <c r="S138" s="3">
        <f t="shared" si="29"/>
        <v>691.51370000000009</v>
      </c>
      <c r="T138" t="s">
        <v>82</v>
      </c>
      <c r="U138" s="4">
        <f t="shared" si="30"/>
        <v>103221.3211</v>
      </c>
      <c r="V138" s="4">
        <f t="shared" si="31"/>
        <v>10.321100000001024</v>
      </c>
      <c r="W138">
        <v>103211</v>
      </c>
      <c r="X138">
        <v>54637</v>
      </c>
      <c r="Y138">
        <v>48574</v>
      </c>
      <c r="Z138">
        <v>4023</v>
      </c>
      <c r="AA138">
        <v>19153</v>
      </c>
      <c r="AB138">
        <v>20466</v>
      </c>
      <c r="AC138">
        <v>19298</v>
      </c>
      <c r="AD138">
        <v>17097</v>
      </c>
      <c r="AE138">
        <v>12284</v>
      </c>
      <c r="AF138">
        <v>7449</v>
      </c>
      <c r="AG138">
        <v>2921</v>
      </c>
      <c r="AH138">
        <v>520</v>
      </c>
      <c r="AI138" s="5">
        <v>52.937186927749899</v>
      </c>
      <c r="AJ138" s="5">
        <v>47.062813072250101</v>
      </c>
      <c r="AK138" s="5">
        <v>3.8978403464747</v>
      </c>
      <c r="AL138" s="5">
        <v>18.557130538411599</v>
      </c>
      <c r="AM138" s="5">
        <v>19.8292817626028</v>
      </c>
      <c r="AN138" s="5">
        <v>18.697619439788401</v>
      </c>
      <c r="AO138" s="5">
        <v>16.565094805786199</v>
      </c>
      <c r="AP138" s="5">
        <v>11.901832169051699</v>
      </c>
      <c r="AQ138" s="5">
        <v>7.2172539748670204</v>
      </c>
      <c r="AR138" s="5">
        <v>2.83012469601108</v>
      </c>
      <c r="AS138" s="5">
        <v>0.50382226700642396</v>
      </c>
    </row>
    <row r="139" spans="1:45" x14ac:dyDescent="0.25">
      <c r="A139" t="s">
        <v>347</v>
      </c>
      <c r="B139" t="s">
        <v>348</v>
      </c>
      <c r="C139" t="s">
        <v>81</v>
      </c>
      <c r="D139">
        <v>19.97</v>
      </c>
      <c r="E139" s="2">
        <f t="shared" si="22"/>
        <v>1850.6198999999999</v>
      </c>
      <c r="F139">
        <v>40.82</v>
      </c>
      <c r="G139" s="2">
        <f t="shared" si="23"/>
        <v>3782.7894000000001</v>
      </c>
      <c r="H139">
        <v>23.42</v>
      </c>
      <c r="I139" s="2">
        <f t="shared" si="24"/>
        <v>2170.3314</v>
      </c>
      <c r="J139">
        <v>8.27</v>
      </c>
      <c r="K139" s="2">
        <f t="shared" si="25"/>
        <v>766.3809</v>
      </c>
      <c r="L139">
        <v>5.32</v>
      </c>
      <c r="M139" s="2">
        <f t="shared" si="26"/>
        <v>493.00440000000003</v>
      </c>
      <c r="N139">
        <v>0.43</v>
      </c>
      <c r="O139" s="2">
        <f t="shared" si="27"/>
        <v>39.848100000000002</v>
      </c>
      <c r="P139">
        <v>1.1200000000000001</v>
      </c>
      <c r="Q139" s="2">
        <f t="shared" si="28"/>
        <v>103.79040000000001</v>
      </c>
      <c r="R139">
        <v>0.65</v>
      </c>
      <c r="S139" s="3">
        <f t="shared" si="29"/>
        <v>60.235500000000002</v>
      </c>
      <c r="T139" t="s">
        <v>82</v>
      </c>
      <c r="U139" s="4">
        <f t="shared" si="30"/>
        <v>9267</v>
      </c>
      <c r="V139" s="4">
        <f t="shared" si="31"/>
        <v>0</v>
      </c>
      <c r="W139">
        <v>9267</v>
      </c>
      <c r="X139">
        <v>4659</v>
      </c>
      <c r="Y139">
        <v>4608</v>
      </c>
      <c r="Z139">
        <v>342</v>
      </c>
      <c r="AA139">
        <v>1710</v>
      </c>
      <c r="AB139">
        <v>1791</v>
      </c>
      <c r="AC139">
        <v>1740</v>
      </c>
      <c r="AD139">
        <v>1541</v>
      </c>
      <c r="AE139">
        <v>1105</v>
      </c>
      <c r="AF139">
        <v>692</v>
      </c>
      <c r="AG139">
        <v>288</v>
      </c>
      <c r="AH139">
        <v>58</v>
      </c>
      <c r="AI139" s="5">
        <v>50.275169957915203</v>
      </c>
      <c r="AJ139" s="5">
        <v>49.724830042084797</v>
      </c>
      <c r="AK139" s="5">
        <v>3.6905147296859799</v>
      </c>
      <c r="AL139" s="5">
        <v>18.452573648429901</v>
      </c>
      <c r="AM139" s="5">
        <v>19.326642926513401</v>
      </c>
      <c r="AN139" s="5">
        <v>18.776303010683101</v>
      </c>
      <c r="AO139" s="5">
        <v>16.628898241070502</v>
      </c>
      <c r="AP139" s="5">
        <v>11.924031509657899</v>
      </c>
      <c r="AQ139" s="5">
        <v>7.4673572893061397</v>
      </c>
      <c r="AR139" s="5">
        <v>3.1078018776302998</v>
      </c>
      <c r="AS139" s="5">
        <v>0.62587676702276895</v>
      </c>
    </row>
    <row r="140" spans="1:45" x14ac:dyDescent="0.25">
      <c r="A140" t="s">
        <v>349</v>
      </c>
      <c r="B140" t="s">
        <v>350</v>
      </c>
      <c r="C140" t="s">
        <v>81</v>
      </c>
      <c r="D140">
        <v>25.22</v>
      </c>
      <c r="E140" s="2">
        <f t="shared" si="22"/>
        <v>12863.965400000001</v>
      </c>
      <c r="F140">
        <v>25.89</v>
      </c>
      <c r="G140" s="2">
        <f t="shared" si="23"/>
        <v>13205.712299999999</v>
      </c>
      <c r="H140">
        <v>23.33</v>
      </c>
      <c r="I140" s="2">
        <f t="shared" si="24"/>
        <v>11899.933099999998</v>
      </c>
      <c r="J140">
        <v>14.07</v>
      </c>
      <c r="K140" s="2">
        <f t="shared" si="25"/>
        <v>7176.6849000000002</v>
      </c>
      <c r="L140">
        <v>8.7200000000000006</v>
      </c>
      <c r="M140" s="2">
        <f t="shared" si="26"/>
        <v>4447.8104000000003</v>
      </c>
      <c r="N140">
        <v>0.96</v>
      </c>
      <c r="O140" s="2">
        <f t="shared" si="27"/>
        <v>489.66720000000004</v>
      </c>
      <c r="P140">
        <v>1.1299999999999999</v>
      </c>
      <c r="Q140" s="2">
        <f t="shared" si="28"/>
        <v>576.37909999999999</v>
      </c>
      <c r="R140">
        <v>0.67</v>
      </c>
      <c r="S140" s="3">
        <f t="shared" si="29"/>
        <v>341.74690000000004</v>
      </c>
      <c r="T140" t="s">
        <v>82</v>
      </c>
      <c r="U140" s="4">
        <f t="shared" si="30"/>
        <v>51001.899299999997</v>
      </c>
      <c r="V140" s="4">
        <f t="shared" si="31"/>
        <v>-5.1007000000026892</v>
      </c>
      <c r="W140">
        <v>51007</v>
      </c>
      <c r="X140">
        <v>26710</v>
      </c>
      <c r="Y140">
        <v>24297</v>
      </c>
      <c r="Z140">
        <v>1404</v>
      </c>
      <c r="AA140">
        <v>7495</v>
      </c>
      <c r="AB140">
        <v>8932</v>
      </c>
      <c r="AC140">
        <v>8046</v>
      </c>
      <c r="AD140">
        <v>8992</v>
      </c>
      <c r="AE140">
        <v>8192</v>
      </c>
      <c r="AF140">
        <v>5053</v>
      </c>
      <c r="AG140">
        <v>2445</v>
      </c>
      <c r="AH140">
        <v>448</v>
      </c>
      <c r="AI140" s="5">
        <v>52.365361617033003</v>
      </c>
      <c r="AJ140" s="5">
        <v>47.634638382966997</v>
      </c>
      <c r="AK140" s="5">
        <v>2.7525633736546</v>
      </c>
      <c r="AL140" s="5">
        <v>14.6940615993883</v>
      </c>
      <c r="AM140" s="5">
        <v>17.5113219754151</v>
      </c>
      <c r="AN140" s="5">
        <v>15.774305487482099</v>
      </c>
      <c r="AO140" s="5">
        <v>17.6289528888192</v>
      </c>
      <c r="AP140" s="5">
        <v>16.0605407100986</v>
      </c>
      <c r="AQ140" s="5">
        <v>9.90648342384379</v>
      </c>
      <c r="AR140" s="5">
        <v>4.7934597212147398</v>
      </c>
      <c r="AS140" s="5">
        <v>0.87831082008351802</v>
      </c>
    </row>
    <row r="141" spans="1:45" x14ac:dyDescent="0.25">
      <c r="A141" t="s">
        <v>351</v>
      </c>
      <c r="B141" t="s">
        <v>352</v>
      </c>
      <c r="C141" t="s">
        <v>81</v>
      </c>
      <c r="D141">
        <v>19.350000000000001</v>
      </c>
      <c r="E141" s="2">
        <f t="shared" si="22"/>
        <v>4136.8365000000003</v>
      </c>
      <c r="F141">
        <v>30.68</v>
      </c>
      <c r="G141" s="2">
        <f t="shared" si="23"/>
        <v>6559.0771999999997</v>
      </c>
      <c r="H141">
        <v>23.29</v>
      </c>
      <c r="I141" s="2">
        <f t="shared" si="24"/>
        <v>4979.1691000000001</v>
      </c>
      <c r="J141">
        <v>15.2</v>
      </c>
      <c r="K141" s="2">
        <f t="shared" si="25"/>
        <v>3249.6079999999997</v>
      </c>
      <c r="L141">
        <v>8.91</v>
      </c>
      <c r="M141" s="2">
        <f t="shared" si="26"/>
        <v>1904.8689000000002</v>
      </c>
      <c r="N141">
        <v>0.65</v>
      </c>
      <c r="O141" s="2">
        <f t="shared" si="27"/>
        <v>138.96350000000001</v>
      </c>
      <c r="P141">
        <v>1.38</v>
      </c>
      <c r="Q141" s="2">
        <f t="shared" si="28"/>
        <v>295.03019999999998</v>
      </c>
      <c r="R141">
        <v>0.54</v>
      </c>
      <c r="S141" s="3">
        <f t="shared" si="29"/>
        <v>115.4466</v>
      </c>
      <c r="T141" t="s">
        <v>82</v>
      </c>
      <c r="U141" s="4">
        <f t="shared" si="30"/>
        <v>21379</v>
      </c>
      <c r="V141" s="4">
        <f t="shared" si="31"/>
        <v>0</v>
      </c>
      <c r="W141">
        <v>21379</v>
      </c>
      <c r="X141">
        <v>10846</v>
      </c>
      <c r="Y141">
        <v>10533</v>
      </c>
      <c r="Z141">
        <v>589</v>
      </c>
      <c r="AA141">
        <v>2883</v>
      </c>
      <c r="AB141">
        <v>3329</v>
      </c>
      <c r="AC141">
        <v>3311</v>
      </c>
      <c r="AD141">
        <v>4042</v>
      </c>
      <c r="AE141">
        <v>3627</v>
      </c>
      <c r="AF141">
        <v>2213</v>
      </c>
      <c r="AG141">
        <v>1175</v>
      </c>
      <c r="AH141">
        <v>210</v>
      </c>
      <c r="AI141" s="5">
        <v>50.732026755227103</v>
      </c>
      <c r="AJ141" s="5">
        <v>49.267973244772897</v>
      </c>
      <c r="AK141" s="5">
        <v>2.7550399925160201</v>
      </c>
      <c r="AL141" s="5">
        <v>13.4851957528416</v>
      </c>
      <c r="AM141" s="5">
        <v>15.5713550680574</v>
      </c>
      <c r="AN141" s="5">
        <v>15.487160297488201</v>
      </c>
      <c r="AO141" s="5">
        <v>18.9064034800505</v>
      </c>
      <c r="AP141" s="5">
        <v>16.965246269703901</v>
      </c>
      <c r="AQ141" s="5">
        <v>10.3512792927639</v>
      </c>
      <c r="AR141" s="5">
        <v>5.4960475232704997</v>
      </c>
      <c r="AS141" s="5">
        <v>0.98227232330791903</v>
      </c>
    </row>
    <row r="142" spans="1:45" x14ac:dyDescent="0.25">
      <c r="A142" t="s">
        <v>353</v>
      </c>
      <c r="B142" t="s">
        <v>354</v>
      </c>
      <c r="C142" t="s">
        <v>207</v>
      </c>
      <c r="D142">
        <v>16.940000000000001</v>
      </c>
      <c r="E142" s="2">
        <f t="shared" si="22"/>
        <v>8299.5836000000018</v>
      </c>
      <c r="F142">
        <v>32.74</v>
      </c>
      <c r="G142" s="2">
        <f t="shared" si="23"/>
        <v>16040.635600000001</v>
      </c>
      <c r="H142">
        <v>23.19</v>
      </c>
      <c r="I142" s="2">
        <f t="shared" si="24"/>
        <v>11361.708600000002</v>
      </c>
      <c r="J142">
        <v>15.84</v>
      </c>
      <c r="K142" s="2">
        <f t="shared" si="25"/>
        <v>7760.6495999999997</v>
      </c>
      <c r="L142">
        <v>9.0399999999999991</v>
      </c>
      <c r="M142" s="2">
        <f t="shared" si="26"/>
        <v>4429.0575999999992</v>
      </c>
      <c r="N142">
        <v>0.66</v>
      </c>
      <c r="O142" s="2">
        <f t="shared" si="27"/>
        <v>323.36040000000003</v>
      </c>
      <c r="P142">
        <v>1.01</v>
      </c>
      <c r="Q142" s="2">
        <f t="shared" si="28"/>
        <v>494.83940000000001</v>
      </c>
      <c r="R142">
        <v>0.57999999999999996</v>
      </c>
      <c r="S142" s="3">
        <f t="shared" si="29"/>
        <v>284.16519999999997</v>
      </c>
      <c r="T142" t="s">
        <v>208</v>
      </c>
      <c r="U142" s="4">
        <f t="shared" si="30"/>
        <v>48994</v>
      </c>
      <c r="V142" s="4">
        <f t="shared" si="31"/>
        <v>0</v>
      </c>
      <c r="W142">
        <v>48994</v>
      </c>
      <c r="X142">
        <v>25178</v>
      </c>
      <c r="Y142">
        <v>23816</v>
      </c>
      <c r="Z142">
        <v>1462</v>
      </c>
      <c r="AA142">
        <v>7491</v>
      </c>
      <c r="AB142">
        <v>8622</v>
      </c>
      <c r="AC142">
        <v>7276</v>
      </c>
      <c r="AD142">
        <v>8912</v>
      </c>
      <c r="AE142">
        <v>7897</v>
      </c>
      <c r="AF142">
        <v>4722</v>
      </c>
      <c r="AG142">
        <v>2218</v>
      </c>
      <c r="AH142">
        <v>394</v>
      </c>
      <c r="AI142" s="5">
        <v>51.389966118300201</v>
      </c>
      <c r="AJ142" s="5">
        <v>48.610033881699799</v>
      </c>
      <c r="AK142" s="5">
        <v>2.9840388619014599</v>
      </c>
      <c r="AL142" s="5">
        <v>15.2896273013022</v>
      </c>
      <c r="AM142" s="5">
        <v>17.5980732334572</v>
      </c>
      <c r="AN142" s="5">
        <v>14.8507980569049</v>
      </c>
      <c r="AO142" s="5">
        <v>18.1899824468302</v>
      </c>
      <c r="AP142" s="5">
        <v>16.1183002000245</v>
      </c>
      <c r="AQ142" s="5">
        <v>9.6379148467159208</v>
      </c>
      <c r="AR142" s="5">
        <v>4.5270849491774499</v>
      </c>
      <c r="AS142" s="5">
        <v>0.80418010368616599</v>
      </c>
    </row>
    <row r="143" spans="1:45" x14ac:dyDescent="0.25">
      <c r="A143" t="s">
        <v>355</v>
      </c>
      <c r="B143" t="s">
        <v>356</v>
      </c>
      <c r="C143" t="s">
        <v>147</v>
      </c>
      <c r="D143">
        <v>17.690000000000001</v>
      </c>
      <c r="E143" s="2">
        <f t="shared" si="22"/>
        <v>2319.5128000000004</v>
      </c>
      <c r="F143">
        <v>33.25</v>
      </c>
      <c r="G143" s="2">
        <f t="shared" si="23"/>
        <v>4359.74</v>
      </c>
      <c r="H143">
        <v>23.18</v>
      </c>
      <c r="I143" s="2">
        <f t="shared" si="24"/>
        <v>3039.3615999999997</v>
      </c>
      <c r="J143">
        <v>13.72</v>
      </c>
      <c r="K143" s="2">
        <f t="shared" si="25"/>
        <v>1798.9664000000002</v>
      </c>
      <c r="L143">
        <v>9.69</v>
      </c>
      <c r="M143" s="2">
        <f t="shared" si="26"/>
        <v>1270.5527999999999</v>
      </c>
      <c r="N143">
        <v>0.84</v>
      </c>
      <c r="O143" s="2">
        <f t="shared" si="27"/>
        <v>110.1408</v>
      </c>
      <c r="P143">
        <v>1.2</v>
      </c>
      <c r="Q143" s="2">
        <f t="shared" si="28"/>
        <v>157.34399999999999</v>
      </c>
      <c r="R143">
        <v>0.43</v>
      </c>
      <c r="S143" s="3">
        <f t="shared" si="29"/>
        <v>56.381599999999999</v>
      </c>
      <c r="T143" t="s">
        <v>148</v>
      </c>
      <c r="U143" s="4">
        <f t="shared" si="30"/>
        <v>13112</v>
      </c>
      <c r="V143" s="4">
        <f t="shared" si="31"/>
        <v>0</v>
      </c>
      <c r="W143">
        <v>13112</v>
      </c>
      <c r="X143">
        <v>6453</v>
      </c>
      <c r="Y143">
        <v>6659</v>
      </c>
      <c r="Z143">
        <v>369</v>
      </c>
      <c r="AA143">
        <v>1889</v>
      </c>
      <c r="AB143">
        <v>2322</v>
      </c>
      <c r="AC143">
        <v>2108</v>
      </c>
      <c r="AD143">
        <v>2422</v>
      </c>
      <c r="AE143">
        <v>2113</v>
      </c>
      <c r="AF143">
        <v>1285</v>
      </c>
      <c r="AG143">
        <v>529</v>
      </c>
      <c r="AH143">
        <v>75</v>
      </c>
      <c r="AI143" s="5">
        <v>49.214460036607697</v>
      </c>
      <c r="AJ143" s="5">
        <v>50.785539963392303</v>
      </c>
      <c r="AK143" s="5">
        <v>2.81421598535692</v>
      </c>
      <c r="AL143" s="5">
        <v>14.4066503965833</v>
      </c>
      <c r="AM143" s="5">
        <v>17.708968883465499</v>
      </c>
      <c r="AN143" s="5">
        <v>16.076876143990201</v>
      </c>
      <c r="AO143" s="5">
        <v>18.471629042098801</v>
      </c>
      <c r="AP143" s="5">
        <v>16.1150091519219</v>
      </c>
      <c r="AQ143" s="5">
        <v>9.8001830384380693</v>
      </c>
      <c r="AR143" s="5">
        <v>4.0344722391702303</v>
      </c>
      <c r="AS143" s="5">
        <v>0.57199511897498501</v>
      </c>
    </row>
    <row r="144" spans="1:45" x14ac:dyDescent="0.25">
      <c r="A144" t="s">
        <v>357</v>
      </c>
      <c r="B144" t="s">
        <v>358</v>
      </c>
      <c r="C144" t="s">
        <v>207</v>
      </c>
      <c r="D144">
        <v>18.28</v>
      </c>
      <c r="E144" s="2">
        <f t="shared" si="22"/>
        <v>2467.9828000000002</v>
      </c>
      <c r="F144">
        <v>33.43</v>
      </c>
      <c r="G144" s="2">
        <f t="shared" si="23"/>
        <v>4513.3842999999997</v>
      </c>
      <c r="H144">
        <v>23.17</v>
      </c>
      <c r="I144" s="2">
        <f t="shared" si="24"/>
        <v>3128.1817000000005</v>
      </c>
      <c r="J144">
        <v>14.21</v>
      </c>
      <c r="K144" s="2">
        <f t="shared" si="25"/>
        <v>1918.4921000000002</v>
      </c>
      <c r="L144">
        <v>8.8699999999999992</v>
      </c>
      <c r="M144" s="2">
        <f t="shared" si="26"/>
        <v>1197.5387000000001</v>
      </c>
      <c r="N144">
        <v>0.68</v>
      </c>
      <c r="O144" s="2">
        <f t="shared" si="27"/>
        <v>91.80680000000001</v>
      </c>
      <c r="P144">
        <v>0.93</v>
      </c>
      <c r="Q144" s="2">
        <f t="shared" si="28"/>
        <v>125.55930000000001</v>
      </c>
      <c r="R144">
        <v>0.44</v>
      </c>
      <c r="S144" s="3">
        <f t="shared" si="29"/>
        <v>59.404399999999995</v>
      </c>
      <c r="T144" t="s">
        <v>208</v>
      </c>
      <c r="U144" s="4">
        <f t="shared" si="30"/>
        <v>13502.3501</v>
      </c>
      <c r="V144" s="4">
        <f t="shared" si="31"/>
        <v>1.3500999999996566</v>
      </c>
      <c r="W144">
        <v>13501</v>
      </c>
      <c r="X144">
        <v>6823</v>
      </c>
      <c r="Y144">
        <v>6678</v>
      </c>
      <c r="Z144">
        <v>387</v>
      </c>
      <c r="AA144">
        <v>1844</v>
      </c>
      <c r="AB144">
        <v>2322</v>
      </c>
      <c r="AC144">
        <v>2161</v>
      </c>
      <c r="AD144">
        <v>2600</v>
      </c>
      <c r="AE144">
        <v>2180</v>
      </c>
      <c r="AF144">
        <v>1368</v>
      </c>
      <c r="AG144">
        <v>550</v>
      </c>
      <c r="AH144">
        <v>89</v>
      </c>
      <c r="AI144" s="5">
        <v>50.536997259462296</v>
      </c>
      <c r="AJ144" s="5">
        <v>49.463002740537704</v>
      </c>
      <c r="AK144" s="5">
        <v>2.8664543367158002</v>
      </c>
      <c r="AL144" s="5">
        <v>13.6582475372195</v>
      </c>
      <c r="AM144" s="5">
        <v>17.198726020294799</v>
      </c>
      <c r="AN144" s="5">
        <v>16.006221761351</v>
      </c>
      <c r="AO144" s="5">
        <v>19.257832753129399</v>
      </c>
      <c r="AP144" s="5">
        <v>16.146952077623901</v>
      </c>
      <c r="AQ144" s="5">
        <v>10.132582771646501</v>
      </c>
      <c r="AR144" s="5">
        <v>4.0737723131619896</v>
      </c>
      <c r="AS144" s="5">
        <v>0.659210428857122</v>
      </c>
    </row>
    <row r="145" spans="1:45" x14ac:dyDescent="0.25">
      <c r="A145" t="s">
        <v>359</v>
      </c>
      <c r="B145" t="s">
        <v>360</v>
      </c>
      <c r="C145" t="s">
        <v>141</v>
      </c>
      <c r="D145">
        <v>21.83</v>
      </c>
      <c r="E145" s="2">
        <f t="shared" si="22"/>
        <v>2865.4057999999995</v>
      </c>
      <c r="F145">
        <v>32.619999999999997</v>
      </c>
      <c r="G145" s="2">
        <f t="shared" si="23"/>
        <v>4281.7011999999995</v>
      </c>
      <c r="H145">
        <v>23.13</v>
      </c>
      <c r="I145" s="2">
        <f t="shared" si="24"/>
        <v>3036.0437999999999</v>
      </c>
      <c r="J145">
        <v>11.27</v>
      </c>
      <c r="K145" s="2">
        <f t="shared" si="25"/>
        <v>1479.3001999999999</v>
      </c>
      <c r="L145">
        <v>8.33</v>
      </c>
      <c r="M145" s="2">
        <f t="shared" si="26"/>
        <v>1093.3958</v>
      </c>
      <c r="N145">
        <v>0.7</v>
      </c>
      <c r="O145" s="2">
        <f t="shared" si="27"/>
        <v>91.881999999999991</v>
      </c>
      <c r="P145">
        <v>1.39</v>
      </c>
      <c r="Q145" s="2">
        <f t="shared" si="28"/>
        <v>182.45140000000001</v>
      </c>
      <c r="R145">
        <v>0.73</v>
      </c>
      <c r="S145" s="3">
        <f t="shared" si="29"/>
        <v>95.819800000000001</v>
      </c>
      <c r="T145" t="s">
        <v>142</v>
      </c>
      <c r="U145" s="4">
        <f t="shared" si="30"/>
        <v>13126</v>
      </c>
      <c r="V145" s="4">
        <f t="shared" si="31"/>
        <v>0</v>
      </c>
      <c r="W145">
        <v>13126</v>
      </c>
      <c r="X145">
        <v>6513</v>
      </c>
      <c r="Y145">
        <v>6613</v>
      </c>
      <c r="Z145">
        <v>377</v>
      </c>
      <c r="AA145">
        <v>1825</v>
      </c>
      <c r="AB145">
        <v>2304</v>
      </c>
      <c r="AC145">
        <v>1993</v>
      </c>
      <c r="AD145">
        <v>2255</v>
      </c>
      <c r="AE145">
        <v>2146</v>
      </c>
      <c r="AF145">
        <v>1328</v>
      </c>
      <c r="AG145">
        <v>755</v>
      </c>
      <c r="AH145">
        <v>143</v>
      </c>
      <c r="AI145" s="5">
        <v>49.619076641779699</v>
      </c>
      <c r="AJ145" s="5">
        <v>50.380923358220301</v>
      </c>
      <c r="AK145" s="5">
        <v>2.87216212098126</v>
      </c>
      <c r="AL145" s="5">
        <v>13.903702575041899</v>
      </c>
      <c r="AM145" s="5">
        <v>17.552948346792601</v>
      </c>
      <c r="AN145" s="5">
        <v>15.1836050586622</v>
      </c>
      <c r="AO145" s="5">
        <v>17.179643455736699</v>
      </c>
      <c r="AP145" s="5">
        <v>16.3492305348164</v>
      </c>
      <c r="AQ145" s="5">
        <v>10.1173243943319</v>
      </c>
      <c r="AR145" s="5">
        <v>5.7519427091269204</v>
      </c>
      <c r="AS145" s="5">
        <v>1.08944080451013</v>
      </c>
    </row>
    <row r="146" spans="1:45" x14ac:dyDescent="0.25">
      <c r="A146" t="s">
        <v>361</v>
      </c>
      <c r="B146" t="s">
        <v>362</v>
      </c>
      <c r="C146" t="s">
        <v>113</v>
      </c>
      <c r="D146">
        <v>30.17</v>
      </c>
      <c r="E146" s="2">
        <f t="shared" si="22"/>
        <v>9899.3804</v>
      </c>
      <c r="F146">
        <v>21.78</v>
      </c>
      <c r="G146" s="2">
        <f t="shared" si="23"/>
        <v>7146.4535999999998</v>
      </c>
      <c r="H146">
        <v>23.02</v>
      </c>
      <c r="I146" s="2">
        <f t="shared" si="24"/>
        <v>7553.3224</v>
      </c>
      <c r="J146">
        <v>13.16</v>
      </c>
      <c r="K146" s="2">
        <f t="shared" si="25"/>
        <v>4318.0591999999997</v>
      </c>
      <c r="L146">
        <v>9.06</v>
      </c>
      <c r="M146" s="2">
        <f t="shared" si="26"/>
        <v>2972.7672000000002</v>
      </c>
      <c r="N146">
        <v>0.99</v>
      </c>
      <c r="O146" s="2">
        <f t="shared" si="27"/>
        <v>324.83879999999999</v>
      </c>
      <c r="P146">
        <v>1.26</v>
      </c>
      <c r="Q146" s="2">
        <f t="shared" si="28"/>
        <v>413.43120000000005</v>
      </c>
      <c r="R146">
        <v>0.55000000000000004</v>
      </c>
      <c r="S146" s="3">
        <f t="shared" si="29"/>
        <v>180.46600000000001</v>
      </c>
      <c r="T146" t="s">
        <v>114</v>
      </c>
      <c r="U146" s="4">
        <f t="shared" si="30"/>
        <v>32808.718800000002</v>
      </c>
      <c r="V146" s="4">
        <f t="shared" si="31"/>
        <v>-3.2811999999976251</v>
      </c>
      <c r="W146">
        <v>32812</v>
      </c>
      <c r="X146">
        <v>16718</v>
      </c>
      <c r="Y146">
        <v>16094</v>
      </c>
      <c r="Z146">
        <v>959</v>
      </c>
      <c r="AA146">
        <v>4962</v>
      </c>
      <c r="AB146">
        <v>6026</v>
      </c>
      <c r="AC146">
        <v>5208</v>
      </c>
      <c r="AD146">
        <v>5460</v>
      </c>
      <c r="AE146">
        <v>5380</v>
      </c>
      <c r="AF146">
        <v>3125</v>
      </c>
      <c r="AG146">
        <v>1424</v>
      </c>
      <c r="AH146">
        <v>268</v>
      </c>
      <c r="AI146" s="5">
        <v>50.950871632329601</v>
      </c>
      <c r="AJ146" s="5">
        <v>49.049128367670399</v>
      </c>
      <c r="AK146" s="5">
        <v>2.92271120321834</v>
      </c>
      <c r="AL146" s="5">
        <v>15.122516152627099</v>
      </c>
      <c r="AM146" s="5">
        <v>18.365232232110198</v>
      </c>
      <c r="AN146" s="5">
        <v>15.8722418627331</v>
      </c>
      <c r="AO146" s="5">
        <v>16.640253565768599</v>
      </c>
      <c r="AP146" s="5">
        <v>16.396440326709701</v>
      </c>
      <c r="AQ146" s="5">
        <v>9.5239546507375294</v>
      </c>
      <c r="AR146" s="5">
        <v>4.3398756552480799</v>
      </c>
      <c r="AS146" s="5">
        <v>0.81677435084725103</v>
      </c>
    </row>
    <row r="147" spans="1:45" x14ac:dyDescent="0.25">
      <c r="A147" t="s">
        <v>363</v>
      </c>
      <c r="B147" t="s">
        <v>364</v>
      </c>
      <c r="C147" t="s">
        <v>147</v>
      </c>
      <c r="D147">
        <v>22.08</v>
      </c>
      <c r="E147" s="2">
        <f t="shared" si="22"/>
        <v>3746.3136</v>
      </c>
      <c r="F147">
        <v>31.42</v>
      </c>
      <c r="G147" s="2">
        <f t="shared" si="23"/>
        <v>5331.0313999999998</v>
      </c>
      <c r="H147">
        <v>22.99</v>
      </c>
      <c r="I147" s="2">
        <f t="shared" si="24"/>
        <v>3900.7132999999994</v>
      </c>
      <c r="J147">
        <v>10.59</v>
      </c>
      <c r="K147" s="2">
        <f t="shared" si="25"/>
        <v>1796.8053</v>
      </c>
      <c r="L147">
        <v>10.78</v>
      </c>
      <c r="M147" s="2">
        <f t="shared" si="26"/>
        <v>1829.0425999999998</v>
      </c>
      <c r="N147">
        <v>0.53</v>
      </c>
      <c r="O147" s="2">
        <f t="shared" si="27"/>
        <v>89.9251</v>
      </c>
      <c r="P147">
        <v>1.2</v>
      </c>
      <c r="Q147" s="2">
        <f t="shared" si="28"/>
        <v>203.60399999999998</v>
      </c>
      <c r="R147">
        <v>0.41</v>
      </c>
      <c r="S147" s="3">
        <f t="shared" si="29"/>
        <v>69.564699999999988</v>
      </c>
      <c r="T147" t="s">
        <v>148</v>
      </c>
      <c r="U147" s="4">
        <f t="shared" si="30"/>
        <v>16967</v>
      </c>
      <c r="V147" s="4">
        <f t="shared" si="31"/>
        <v>0</v>
      </c>
      <c r="W147">
        <v>16967</v>
      </c>
      <c r="X147">
        <v>8397</v>
      </c>
      <c r="Y147">
        <v>8570</v>
      </c>
      <c r="Z147">
        <v>501</v>
      </c>
      <c r="AA147">
        <v>2544</v>
      </c>
      <c r="AB147">
        <v>3107</v>
      </c>
      <c r="AC147">
        <v>2731</v>
      </c>
      <c r="AD147">
        <v>3071</v>
      </c>
      <c r="AE147">
        <v>2723</v>
      </c>
      <c r="AF147">
        <v>1555</v>
      </c>
      <c r="AG147">
        <v>618</v>
      </c>
      <c r="AH147">
        <v>117</v>
      </c>
      <c r="AI147" s="5">
        <v>49.490186833264602</v>
      </c>
      <c r="AJ147" s="5">
        <v>50.509813166735398</v>
      </c>
      <c r="AK147" s="5">
        <v>2.9527907113809202</v>
      </c>
      <c r="AL147" s="5">
        <v>14.993811516473199</v>
      </c>
      <c r="AM147" s="5">
        <v>18.312017445629799</v>
      </c>
      <c r="AN147" s="5">
        <v>16.0959509636353</v>
      </c>
      <c r="AO147" s="5">
        <v>18.099840867566499</v>
      </c>
      <c r="AP147" s="5">
        <v>16.048800612954601</v>
      </c>
      <c r="AQ147" s="5">
        <v>9.1648494135675094</v>
      </c>
      <c r="AR147" s="5">
        <v>3.6423645900866402</v>
      </c>
      <c r="AS147" s="5">
        <v>0.68957387870572295</v>
      </c>
    </row>
    <row r="148" spans="1:45" x14ac:dyDescent="0.25">
      <c r="A148" t="s">
        <v>365</v>
      </c>
      <c r="B148" t="s">
        <v>366</v>
      </c>
      <c r="C148" t="s">
        <v>93</v>
      </c>
      <c r="D148">
        <v>23.05</v>
      </c>
      <c r="E148" s="2">
        <f t="shared" si="22"/>
        <v>8918.2754999999997</v>
      </c>
      <c r="F148">
        <v>27.69</v>
      </c>
      <c r="G148" s="2">
        <f t="shared" si="23"/>
        <v>10713.537900000001</v>
      </c>
      <c r="H148">
        <v>22.94</v>
      </c>
      <c r="I148" s="2">
        <f t="shared" si="24"/>
        <v>8875.715400000001</v>
      </c>
      <c r="J148">
        <v>14.66</v>
      </c>
      <c r="K148" s="2">
        <f t="shared" si="25"/>
        <v>5672.1006000000007</v>
      </c>
      <c r="L148">
        <v>8.61</v>
      </c>
      <c r="M148" s="2">
        <f t="shared" si="26"/>
        <v>3331.2950999999994</v>
      </c>
      <c r="N148">
        <v>1.2</v>
      </c>
      <c r="O148" s="2">
        <f t="shared" si="27"/>
        <v>464.29199999999997</v>
      </c>
      <c r="P148">
        <v>1.28</v>
      </c>
      <c r="Q148" s="2">
        <f t="shared" si="28"/>
        <v>495.24480000000005</v>
      </c>
      <c r="R148">
        <v>0.56999999999999995</v>
      </c>
      <c r="S148" s="3">
        <f t="shared" si="29"/>
        <v>220.53869999999998</v>
      </c>
      <c r="T148" t="s">
        <v>94</v>
      </c>
      <c r="U148" s="4">
        <f t="shared" si="30"/>
        <v>38691</v>
      </c>
      <c r="V148" s="4">
        <f t="shared" si="31"/>
        <v>0</v>
      </c>
      <c r="W148">
        <v>38691</v>
      </c>
      <c r="X148">
        <v>19436</v>
      </c>
      <c r="Y148">
        <v>19255</v>
      </c>
      <c r="Z148">
        <v>1168</v>
      </c>
      <c r="AA148">
        <v>5849</v>
      </c>
      <c r="AB148">
        <v>7104</v>
      </c>
      <c r="AC148">
        <v>6298</v>
      </c>
      <c r="AD148">
        <v>6873</v>
      </c>
      <c r="AE148">
        <v>5912</v>
      </c>
      <c r="AF148">
        <v>3491</v>
      </c>
      <c r="AG148">
        <v>1682</v>
      </c>
      <c r="AH148">
        <v>314</v>
      </c>
      <c r="AI148" s="5">
        <v>50.233904525600302</v>
      </c>
      <c r="AJ148" s="5">
        <v>49.766095474399698</v>
      </c>
      <c r="AK148" s="5">
        <v>3.0187898994598199</v>
      </c>
      <c r="AL148" s="5">
        <v>15.1172107208395</v>
      </c>
      <c r="AM148" s="5">
        <v>18.3608591145228</v>
      </c>
      <c r="AN148" s="5">
        <v>16.277687317464</v>
      </c>
      <c r="AO148" s="5">
        <v>17.7638210436536</v>
      </c>
      <c r="AP148" s="5">
        <v>15.280039285621999</v>
      </c>
      <c r="AQ148" s="5">
        <v>9.0227701532656202</v>
      </c>
      <c r="AR148" s="5">
        <v>4.3472642216536102</v>
      </c>
      <c r="AS148" s="5">
        <v>0.81155824351916495</v>
      </c>
    </row>
    <row r="149" spans="1:45" x14ac:dyDescent="0.25">
      <c r="A149" t="s">
        <v>367</v>
      </c>
      <c r="B149" t="s">
        <v>368</v>
      </c>
      <c r="C149" t="s">
        <v>147</v>
      </c>
      <c r="D149">
        <v>16.079999999999998</v>
      </c>
      <c r="E149" s="2">
        <f t="shared" si="22"/>
        <v>4802.7743999999993</v>
      </c>
      <c r="F149">
        <v>37.409999999999997</v>
      </c>
      <c r="G149" s="2">
        <f t="shared" si="23"/>
        <v>11173.618799999998</v>
      </c>
      <c r="H149">
        <v>22.93</v>
      </c>
      <c r="I149" s="2">
        <f t="shared" si="24"/>
        <v>6848.7323999999999</v>
      </c>
      <c r="J149">
        <v>15.62</v>
      </c>
      <c r="K149" s="2">
        <f t="shared" si="25"/>
        <v>4665.3815999999997</v>
      </c>
      <c r="L149">
        <v>6.04</v>
      </c>
      <c r="M149" s="2">
        <f t="shared" si="26"/>
        <v>1804.0272</v>
      </c>
      <c r="N149">
        <v>0.47</v>
      </c>
      <c r="O149" s="2">
        <f t="shared" si="27"/>
        <v>140.37959999999998</v>
      </c>
      <c r="P149">
        <v>1.05</v>
      </c>
      <c r="Q149" s="2">
        <f t="shared" si="28"/>
        <v>313.61400000000003</v>
      </c>
      <c r="R149">
        <v>0.39</v>
      </c>
      <c r="S149" s="3">
        <f t="shared" si="29"/>
        <v>116.48520000000001</v>
      </c>
      <c r="T149" t="s">
        <v>148</v>
      </c>
      <c r="U149" s="4">
        <f t="shared" si="30"/>
        <v>29865.013199999998</v>
      </c>
      <c r="V149" s="4">
        <f t="shared" si="31"/>
        <v>-2.986800000002404</v>
      </c>
      <c r="W149">
        <v>29868</v>
      </c>
      <c r="X149">
        <v>14746</v>
      </c>
      <c r="Y149">
        <v>15122</v>
      </c>
      <c r="Z149">
        <v>955</v>
      </c>
      <c r="AA149">
        <v>4286</v>
      </c>
      <c r="AB149">
        <v>5515</v>
      </c>
      <c r="AC149">
        <v>4866</v>
      </c>
      <c r="AD149">
        <v>5258</v>
      </c>
      <c r="AE149">
        <v>4936</v>
      </c>
      <c r="AF149">
        <v>2772</v>
      </c>
      <c r="AG149">
        <v>1115</v>
      </c>
      <c r="AH149">
        <v>165</v>
      </c>
      <c r="AI149" s="5">
        <v>49.3705638141154</v>
      </c>
      <c r="AJ149" s="5">
        <v>50.6294361858846</v>
      </c>
      <c r="AK149" s="5">
        <v>3.1974019017008199</v>
      </c>
      <c r="AL149" s="5">
        <v>14.349805812240501</v>
      </c>
      <c r="AM149" s="5">
        <v>18.464577474219901</v>
      </c>
      <c r="AN149" s="5">
        <v>16.291683406990799</v>
      </c>
      <c r="AO149" s="5">
        <v>17.604124815856402</v>
      </c>
      <c r="AP149" s="5">
        <v>16.526047944288202</v>
      </c>
      <c r="AQ149" s="5">
        <v>9.2808356769787093</v>
      </c>
      <c r="AR149" s="5">
        <v>3.7330922726664002</v>
      </c>
      <c r="AS149" s="5">
        <v>0.55243069505825604</v>
      </c>
    </row>
    <row r="150" spans="1:45" x14ac:dyDescent="0.25">
      <c r="A150" t="s">
        <v>369</v>
      </c>
      <c r="B150" t="s">
        <v>370</v>
      </c>
      <c r="C150" t="s">
        <v>147</v>
      </c>
      <c r="D150">
        <v>8.91</v>
      </c>
      <c r="E150" s="2">
        <f t="shared" si="22"/>
        <v>377.60580000000004</v>
      </c>
      <c r="F150">
        <v>44.39</v>
      </c>
      <c r="G150" s="2">
        <f t="shared" si="23"/>
        <v>1881.2482</v>
      </c>
      <c r="H150">
        <v>22.92</v>
      </c>
      <c r="I150" s="2">
        <f t="shared" si="24"/>
        <v>971.34960000000001</v>
      </c>
      <c r="J150">
        <v>16.190000000000001</v>
      </c>
      <c r="K150" s="2">
        <f t="shared" si="25"/>
        <v>686.13220000000001</v>
      </c>
      <c r="L150">
        <v>5.97</v>
      </c>
      <c r="M150" s="2">
        <f t="shared" si="26"/>
        <v>253.0086</v>
      </c>
      <c r="N150">
        <v>0.57999999999999996</v>
      </c>
      <c r="O150" s="2">
        <f t="shared" si="27"/>
        <v>24.580400000000001</v>
      </c>
      <c r="P150">
        <v>0.71</v>
      </c>
      <c r="Q150" s="2">
        <f t="shared" si="28"/>
        <v>30.0898</v>
      </c>
      <c r="R150">
        <v>0.34</v>
      </c>
      <c r="S150" s="3">
        <f t="shared" si="29"/>
        <v>14.4092</v>
      </c>
      <c r="T150" t="s">
        <v>148</v>
      </c>
      <c r="U150" s="4">
        <f t="shared" si="30"/>
        <v>4238.4238000000005</v>
      </c>
      <c r="V150" s="4">
        <f t="shared" si="31"/>
        <v>0.42380000000048312</v>
      </c>
      <c r="W150">
        <v>4238</v>
      </c>
      <c r="X150">
        <v>2056</v>
      </c>
      <c r="Y150">
        <v>2182</v>
      </c>
      <c r="Z150">
        <v>121</v>
      </c>
      <c r="AA150">
        <v>651</v>
      </c>
      <c r="AB150">
        <v>798</v>
      </c>
      <c r="AC150">
        <v>748</v>
      </c>
      <c r="AD150">
        <v>787</v>
      </c>
      <c r="AE150">
        <v>565</v>
      </c>
      <c r="AF150">
        <v>366</v>
      </c>
      <c r="AG150">
        <v>171</v>
      </c>
      <c r="AH150">
        <v>31</v>
      </c>
      <c r="AI150" s="5">
        <v>48.513449740443598</v>
      </c>
      <c r="AJ150" s="5">
        <v>51.486550259556402</v>
      </c>
      <c r="AK150" s="5">
        <v>2.8551203397829199</v>
      </c>
      <c r="AL150" s="5">
        <v>15.3610193487494</v>
      </c>
      <c r="AM150" s="5">
        <v>18.829636621047701</v>
      </c>
      <c r="AN150" s="5">
        <v>17.649834827748901</v>
      </c>
      <c r="AO150" s="5">
        <v>18.570080226521899</v>
      </c>
      <c r="AP150" s="5">
        <v>13.3317602642756</v>
      </c>
      <c r="AQ150" s="5">
        <v>8.6361491269466697</v>
      </c>
      <c r="AR150" s="5">
        <v>4.0349221330816398</v>
      </c>
      <c r="AS150" s="5">
        <v>0.73147711184521003</v>
      </c>
    </row>
    <row r="151" spans="1:45" x14ac:dyDescent="0.25">
      <c r="A151" t="s">
        <v>371</v>
      </c>
      <c r="B151" t="s">
        <v>372</v>
      </c>
      <c r="C151" t="s">
        <v>199</v>
      </c>
      <c r="D151">
        <v>19.05</v>
      </c>
      <c r="E151" s="2">
        <f t="shared" si="22"/>
        <v>3750.5640000000003</v>
      </c>
      <c r="F151">
        <v>31.33</v>
      </c>
      <c r="G151" s="2">
        <f t="shared" si="23"/>
        <v>6168.250399999999</v>
      </c>
      <c r="H151">
        <v>22.91</v>
      </c>
      <c r="I151" s="2">
        <f t="shared" si="24"/>
        <v>4510.5208000000002</v>
      </c>
      <c r="J151">
        <v>16.28</v>
      </c>
      <c r="K151" s="2">
        <f t="shared" si="25"/>
        <v>3205.2064</v>
      </c>
      <c r="L151">
        <v>8.15</v>
      </c>
      <c r="M151" s="2">
        <f t="shared" si="26"/>
        <v>1604.5720000000001</v>
      </c>
      <c r="N151">
        <v>0.79</v>
      </c>
      <c r="O151" s="2">
        <f t="shared" si="27"/>
        <v>155.5352</v>
      </c>
      <c r="P151">
        <v>1.01</v>
      </c>
      <c r="Q151" s="2">
        <f t="shared" si="28"/>
        <v>198.84880000000001</v>
      </c>
      <c r="R151">
        <v>0.49</v>
      </c>
      <c r="S151" s="3">
        <f t="shared" si="29"/>
        <v>96.471199999999996</v>
      </c>
      <c r="T151" t="s">
        <v>200</v>
      </c>
      <c r="U151" s="4">
        <f t="shared" si="30"/>
        <v>19689.968799999999</v>
      </c>
      <c r="V151" s="4">
        <f t="shared" si="31"/>
        <v>1.9687999999987369</v>
      </c>
      <c r="W151">
        <v>19688</v>
      </c>
      <c r="X151">
        <v>9804</v>
      </c>
      <c r="Y151">
        <v>9884</v>
      </c>
      <c r="Z151">
        <v>622</v>
      </c>
      <c r="AA151">
        <v>3005</v>
      </c>
      <c r="AB151">
        <v>3441</v>
      </c>
      <c r="AC151">
        <v>3084</v>
      </c>
      <c r="AD151">
        <v>3496</v>
      </c>
      <c r="AE151">
        <v>3082</v>
      </c>
      <c r="AF151">
        <v>1860</v>
      </c>
      <c r="AG151">
        <v>954</v>
      </c>
      <c r="AH151">
        <v>144</v>
      </c>
      <c r="AI151" s="5">
        <v>49.796830556684299</v>
      </c>
      <c r="AJ151" s="5">
        <v>50.203169443315701</v>
      </c>
      <c r="AK151" s="5">
        <v>3.1592848435595302</v>
      </c>
      <c r="AL151" s="5">
        <v>15.2631044290939</v>
      </c>
      <c r="AM151" s="5">
        <v>17.477651361235299</v>
      </c>
      <c r="AN151" s="5">
        <v>15.6643640796424</v>
      </c>
      <c r="AO151" s="5">
        <v>17.757009345794401</v>
      </c>
      <c r="AP151" s="5">
        <v>15.6542056074766</v>
      </c>
      <c r="AQ151" s="5">
        <v>9.4473791141812296</v>
      </c>
      <c r="AR151" s="5">
        <v>4.8455912230800502</v>
      </c>
      <c r="AS151" s="5">
        <v>0.73140999593661105</v>
      </c>
    </row>
    <row r="152" spans="1:45" x14ac:dyDescent="0.25">
      <c r="A152" t="s">
        <v>373</v>
      </c>
      <c r="B152" t="s">
        <v>374</v>
      </c>
      <c r="C152" t="s">
        <v>75</v>
      </c>
      <c r="D152">
        <v>31.99</v>
      </c>
      <c r="E152" s="2">
        <f t="shared" si="22"/>
        <v>6302.03</v>
      </c>
      <c r="F152">
        <v>19.489999999999998</v>
      </c>
      <c r="G152" s="2">
        <f t="shared" si="23"/>
        <v>3839.5299999999993</v>
      </c>
      <c r="H152">
        <v>22.9</v>
      </c>
      <c r="I152" s="2">
        <f t="shared" si="24"/>
        <v>4511.3</v>
      </c>
      <c r="J152">
        <v>13.07</v>
      </c>
      <c r="K152" s="2">
        <f t="shared" si="25"/>
        <v>2574.79</v>
      </c>
      <c r="L152">
        <v>9.76</v>
      </c>
      <c r="M152" s="2">
        <f t="shared" si="26"/>
        <v>1922.72</v>
      </c>
      <c r="N152">
        <v>1.04</v>
      </c>
      <c r="O152" s="2">
        <f t="shared" si="27"/>
        <v>204.88</v>
      </c>
      <c r="P152">
        <v>1.2</v>
      </c>
      <c r="Q152" s="2">
        <f t="shared" si="28"/>
        <v>236.4</v>
      </c>
      <c r="R152">
        <v>0.56000000000000005</v>
      </c>
      <c r="S152" s="3">
        <f t="shared" si="29"/>
        <v>110.32000000000002</v>
      </c>
      <c r="T152" t="s">
        <v>76</v>
      </c>
      <c r="U152" s="4">
        <f t="shared" si="30"/>
        <v>19701.969999999998</v>
      </c>
      <c r="V152" s="4">
        <f t="shared" si="31"/>
        <v>1.9699999999975262</v>
      </c>
      <c r="W152">
        <v>19700</v>
      </c>
      <c r="X152">
        <v>9904</v>
      </c>
      <c r="Y152">
        <v>9796</v>
      </c>
      <c r="Z152">
        <v>623</v>
      </c>
      <c r="AA152">
        <v>2948</v>
      </c>
      <c r="AB152">
        <v>3705</v>
      </c>
      <c r="AC152">
        <v>3221</v>
      </c>
      <c r="AD152">
        <v>3158</v>
      </c>
      <c r="AE152">
        <v>3111</v>
      </c>
      <c r="AF152">
        <v>1854</v>
      </c>
      <c r="AG152">
        <v>915</v>
      </c>
      <c r="AH152">
        <v>165</v>
      </c>
      <c r="AI152" s="5">
        <v>50.274111675126903</v>
      </c>
      <c r="AJ152" s="5">
        <v>49.725888324873097</v>
      </c>
      <c r="AK152" s="5">
        <v>3.1624365482233499</v>
      </c>
      <c r="AL152" s="5">
        <v>14.9644670050761</v>
      </c>
      <c r="AM152" s="5">
        <v>18.807106598984799</v>
      </c>
      <c r="AN152" s="5">
        <v>16.350253807106601</v>
      </c>
      <c r="AO152" s="5">
        <v>16.0304568527919</v>
      </c>
      <c r="AP152" s="5">
        <v>15.791878172588801</v>
      </c>
      <c r="AQ152" s="5">
        <v>9.4111675126903496</v>
      </c>
      <c r="AR152" s="5">
        <v>4.6446700507614196</v>
      </c>
      <c r="AS152" s="5">
        <v>0.83756345177665004</v>
      </c>
    </row>
    <row r="153" spans="1:45" x14ac:dyDescent="0.25">
      <c r="A153" t="s">
        <v>375</v>
      </c>
      <c r="B153" t="s">
        <v>376</v>
      </c>
      <c r="C153" t="s">
        <v>199</v>
      </c>
      <c r="D153">
        <v>23.93</v>
      </c>
      <c r="E153" s="2">
        <f t="shared" si="22"/>
        <v>4142.2829999999994</v>
      </c>
      <c r="F153">
        <v>27.61</v>
      </c>
      <c r="G153" s="2">
        <f t="shared" si="23"/>
        <v>4779.2910000000002</v>
      </c>
      <c r="H153">
        <v>22.89</v>
      </c>
      <c r="I153" s="2">
        <f t="shared" si="24"/>
        <v>3962.259</v>
      </c>
      <c r="J153">
        <v>15.97</v>
      </c>
      <c r="K153" s="2">
        <f t="shared" si="25"/>
        <v>2764.4070000000002</v>
      </c>
      <c r="L153">
        <v>7.24</v>
      </c>
      <c r="M153" s="2">
        <f t="shared" si="26"/>
        <v>1253.2440000000001</v>
      </c>
      <c r="N153">
        <v>0.74</v>
      </c>
      <c r="O153" s="2">
        <f t="shared" si="27"/>
        <v>128.09399999999999</v>
      </c>
      <c r="P153">
        <v>1.04</v>
      </c>
      <c r="Q153" s="2">
        <f t="shared" si="28"/>
        <v>180.024</v>
      </c>
      <c r="R153">
        <v>0.57999999999999996</v>
      </c>
      <c r="S153" s="3">
        <f t="shared" si="29"/>
        <v>100.398</v>
      </c>
      <c r="T153" t="s">
        <v>200</v>
      </c>
      <c r="U153" s="4">
        <f t="shared" si="30"/>
        <v>17310</v>
      </c>
      <c r="V153" s="4">
        <f t="shared" si="31"/>
        <v>0</v>
      </c>
      <c r="W153">
        <v>17310</v>
      </c>
      <c r="X153">
        <v>8820</v>
      </c>
      <c r="Y153">
        <v>8490</v>
      </c>
      <c r="Z153">
        <v>516</v>
      </c>
      <c r="AA153">
        <v>2712</v>
      </c>
      <c r="AB153">
        <v>2902</v>
      </c>
      <c r="AC153">
        <v>2578</v>
      </c>
      <c r="AD153">
        <v>3030</v>
      </c>
      <c r="AE153">
        <v>2762</v>
      </c>
      <c r="AF153">
        <v>1720</v>
      </c>
      <c r="AG153">
        <v>931</v>
      </c>
      <c r="AH153">
        <v>159</v>
      </c>
      <c r="AI153" s="5">
        <v>50.953206239168097</v>
      </c>
      <c r="AJ153" s="5">
        <v>49.046793760831903</v>
      </c>
      <c r="AK153" s="5">
        <v>2.9809358752166402</v>
      </c>
      <c r="AL153" s="5">
        <v>15.6672443674177</v>
      </c>
      <c r="AM153" s="5">
        <v>16.764875794338501</v>
      </c>
      <c r="AN153" s="5">
        <v>14.893125361062999</v>
      </c>
      <c r="AO153" s="5">
        <v>17.5043327556326</v>
      </c>
      <c r="AP153" s="5">
        <v>15.956094742923201</v>
      </c>
      <c r="AQ153" s="5">
        <v>9.9364529173887899</v>
      </c>
      <c r="AR153" s="5">
        <v>5.3783939919121897</v>
      </c>
      <c r="AS153" s="5">
        <v>0.91854419410745203</v>
      </c>
    </row>
    <row r="154" spans="1:45" x14ac:dyDescent="0.25">
      <c r="A154" t="s">
        <v>377</v>
      </c>
      <c r="B154" t="s">
        <v>378</v>
      </c>
      <c r="C154" t="s">
        <v>81</v>
      </c>
      <c r="D154">
        <v>18.22</v>
      </c>
      <c r="E154" s="2">
        <f t="shared" si="22"/>
        <v>5547.99</v>
      </c>
      <c r="F154">
        <v>36.81</v>
      </c>
      <c r="G154" s="2">
        <f t="shared" si="23"/>
        <v>11208.645</v>
      </c>
      <c r="H154">
        <v>22.86</v>
      </c>
      <c r="I154" s="2">
        <f t="shared" si="24"/>
        <v>6960.87</v>
      </c>
      <c r="J154">
        <v>12.86</v>
      </c>
      <c r="K154" s="2">
        <f t="shared" si="25"/>
        <v>3915.87</v>
      </c>
      <c r="L154">
        <v>6.79</v>
      </c>
      <c r="M154" s="2">
        <f t="shared" si="26"/>
        <v>2067.5549999999998</v>
      </c>
      <c r="N154">
        <v>0.63</v>
      </c>
      <c r="O154" s="2">
        <f t="shared" si="27"/>
        <v>191.83500000000001</v>
      </c>
      <c r="P154">
        <v>1.21</v>
      </c>
      <c r="Q154" s="2">
        <f t="shared" si="28"/>
        <v>368.44499999999999</v>
      </c>
      <c r="R154">
        <v>0.62</v>
      </c>
      <c r="S154" s="3">
        <f t="shared" si="29"/>
        <v>188.79</v>
      </c>
      <c r="T154" t="s">
        <v>82</v>
      </c>
      <c r="U154" s="4">
        <f t="shared" si="30"/>
        <v>30450</v>
      </c>
      <c r="V154" s="4">
        <f t="shared" si="31"/>
        <v>0</v>
      </c>
      <c r="W154">
        <v>30450</v>
      </c>
      <c r="X154">
        <v>15715</v>
      </c>
      <c r="Y154">
        <v>14735</v>
      </c>
      <c r="Z154">
        <v>1077</v>
      </c>
      <c r="AA154">
        <v>5131</v>
      </c>
      <c r="AB154">
        <v>5682</v>
      </c>
      <c r="AC154">
        <v>5132</v>
      </c>
      <c r="AD154">
        <v>5285</v>
      </c>
      <c r="AE154">
        <v>4144</v>
      </c>
      <c r="AF154">
        <v>2599</v>
      </c>
      <c r="AG154">
        <v>1171</v>
      </c>
      <c r="AH154">
        <v>229</v>
      </c>
      <c r="AI154" s="5">
        <v>51.609195402298802</v>
      </c>
      <c r="AJ154" s="5">
        <v>48.390804597701099</v>
      </c>
      <c r="AK154" s="5">
        <v>3.5369458128078799</v>
      </c>
      <c r="AL154" s="5">
        <v>16.850574712643699</v>
      </c>
      <c r="AM154" s="5">
        <v>18.660098522167502</v>
      </c>
      <c r="AN154" s="5">
        <v>16.853858784893301</v>
      </c>
      <c r="AO154" s="5">
        <v>17.356321839080501</v>
      </c>
      <c r="AP154" s="5">
        <v>13.6091954022989</v>
      </c>
      <c r="AQ154" s="5">
        <v>8.5353037766830901</v>
      </c>
      <c r="AR154" s="5">
        <v>3.8456486042692899</v>
      </c>
      <c r="AS154" s="5">
        <v>0.75205254515599296</v>
      </c>
    </row>
    <row r="155" spans="1:45" x14ac:dyDescent="0.25">
      <c r="A155" t="s">
        <v>379</v>
      </c>
      <c r="B155" t="s">
        <v>380</v>
      </c>
      <c r="C155" t="s">
        <v>141</v>
      </c>
      <c r="D155">
        <v>21.19</v>
      </c>
      <c r="E155" s="2">
        <f t="shared" si="22"/>
        <v>6737.3605000000007</v>
      </c>
      <c r="F155">
        <v>32</v>
      </c>
      <c r="G155" s="2">
        <f t="shared" si="23"/>
        <v>10174.4</v>
      </c>
      <c r="H155">
        <v>22.84</v>
      </c>
      <c r="I155" s="2">
        <f t="shared" si="24"/>
        <v>7261.9780000000001</v>
      </c>
      <c r="J155">
        <v>12.3</v>
      </c>
      <c r="K155" s="2">
        <f t="shared" si="25"/>
        <v>3910.7849999999999</v>
      </c>
      <c r="L155">
        <v>8.4600000000000009</v>
      </c>
      <c r="M155" s="2">
        <f t="shared" si="26"/>
        <v>2689.857</v>
      </c>
      <c r="N155">
        <v>0.89</v>
      </c>
      <c r="O155" s="2">
        <f t="shared" si="27"/>
        <v>282.97550000000001</v>
      </c>
      <c r="P155">
        <v>1.5</v>
      </c>
      <c r="Q155" s="2">
        <f t="shared" si="28"/>
        <v>476.92500000000001</v>
      </c>
      <c r="R155">
        <v>0.82</v>
      </c>
      <c r="S155" s="3">
        <f t="shared" si="29"/>
        <v>260.71899999999999</v>
      </c>
      <c r="T155" t="s">
        <v>142</v>
      </c>
      <c r="U155" s="4">
        <f t="shared" si="30"/>
        <v>31795</v>
      </c>
      <c r="V155" s="4">
        <f t="shared" si="31"/>
        <v>0</v>
      </c>
      <c r="W155">
        <v>31795</v>
      </c>
      <c r="X155">
        <v>16137</v>
      </c>
      <c r="Y155">
        <v>15658</v>
      </c>
      <c r="Z155">
        <v>1043</v>
      </c>
      <c r="AA155">
        <v>5021</v>
      </c>
      <c r="AB155">
        <v>5575</v>
      </c>
      <c r="AC155">
        <v>4973</v>
      </c>
      <c r="AD155">
        <v>5376</v>
      </c>
      <c r="AE155">
        <v>4805</v>
      </c>
      <c r="AF155">
        <v>3060</v>
      </c>
      <c r="AG155">
        <v>1605</v>
      </c>
      <c r="AH155">
        <v>337</v>
      </c>
      <c r="AI155" s="5">
        <v>50.753263091681099</v>
      </c>
      <c r="AJ155" s="5">
        <v>49.246736908318901</v>
      </c>
      <c r="AK155" s="5">
        <v>3.2803899984274301</v>
      </c>
      <c r="AL155" s="5">
        <v>15.7917911621324</v>
      </c>
      <c r="AM155" s="5">
        <v>17.534203491115001</v>
      </c>
      <c r="AN155" s="5">
        <v>15.6408240289354</v>
      </c>
      <c r="AO155" s="5">
        <v>16.9083189180689</v>
      </c>
      <c r="AP155" s="5">
        <v>15.1124390627457</v>
      </c>
      <c r="AQ155" s="5">
        <v>9.6241547413115303</v>
      </c>
      <c r="AR155" s="5">
        <v>5.0479635162761403</v>
      </c>
      <c r="AS155" s="5">
        <v>1.0599150809875799</v>
      </c>
    </row>
    <row r="156" spans="1:45" x14ac:dyDescent="0.25">
      <c r="A156" t="s">
        <v>381</v>
      </c>
      <c r="B156" t="s">
        <v>382</v>
      </c>
      <c r="C156" t="s">
        <v>217</v>
      </c>
      <c r="D156">
        <v>20.11</v>
      </c>
      <c r="E156" s="2">
        <f t="shared" si="22"/>
        <v>2587.9558999999999</v>
      </c>
      <c r="F156">
        <v>30.09</v>
      </c>
      <c r="G156" s="2">
        <f t="shared" si="23"/>
        <v>3872.2821000000004</v>
      </c>
      <c r="H156">
        <v>22.82</v>
      </c>
      <c r="I156" s="2">
        <f t="shared" si="24"/>
        <v>2936.7058000000002</v>
      </c>
      <c r="J156">
        <v>14.33</v>
      </c>
      <c r="K156" s="2">
        <f t="shared" si="25"/>
        <v>1844.1277</v>
      </c>
      <c r="L156">
        <v>10.29</v>
      </c>
      <c r="M156" s="2">
        <f t="shared" si="26"/>
        <v>1324.2200999999998</v>
      </c>
      <c r="N156">
        <v>0.84</v>
      </c>
      <c r="O156" s="2">
        <f t="shared" si="27"/>
        <v>108.0996</v>
      </c>
      <c r="P156">
        <v>1.1299999999999999</v>
      </c>
      <c r="Q156" s="2">
        <f t="shared" si="28"/>
        <v>145.41970000000001</v>
      </c>
      <c r="R156">
        <v>0.4</v>
      </c>
      <c r="S156" s="3">
        <f t="shared" si="29"/>
        <v>51.476000000000006</v>
      </c>
      <c r="T156" t="s">
        <v>218</v>
      </c>
      <c r="U156" s="4">
        <f t="shared" si="30"/>
        <v>12870.286899999999</v>
      </c>
      <c r="V156" s="4">
        <f t="shared" si="31"/>
        <v>1.2868999999991502</v>
      </c>
      <c r="W156">
        <v>12869</v>
      </c>
      <c r="X156">
        <v>6362</v>
      </c>
      <c r="Y156">
        <v>6507</v>
      </c>
      <c r="Z156">
        <v>386</v>
      </c>
      <c r="AA156">
        <v>1853</v>
      </c>
      <c r="AB156">
        <v>2369</v>
      </c>
      <c r="AC156">
        <v>2021</v>
      </c>
      <c r="AD156">
        <v>2218</v>
      </c>
      <c r="AE156">
        <v>2102</v>
      </c>
      <c r="AF156">
        <v>1252</v>
      </c>
      <c r="AG156">
        <v>574</v>
      </c>
      <c r="AH156">
        <v>94</v>
      </c>
      <c r="AI156" s="5">
        <v>49.436630662833203</v>
      </c>
      <c r="AJ156" s="5">
        <v>50.563369337166797</v>
      </c>
      <c r="AK156" s="5">
        <v>2.9994560571917002</v>
      </c>
      <c r="AL156" s="5">
        <v>14.398943196829601</v>
      </c>
      <c r="AM156" s="5">
        <v>18.408578755148</v>
      </c>
      <c r="AN156" s="5">
        <v>15.7044059367472</v>
      </c>
      <c r="AO156" s="5">
        <v>17.235216411531599</v>
      </c>
      <c r="AP156" s="5">
        <v>16.3338254720646</v>
      </c>
      <c r="AQ156" s="5">
        <v>9.7288056570052106</v>
      </c>
      <c r="AR156" s="5">
        <v>4.4603310280519102</v>
      </c>
      <c r="AS156" s="5">
        <v>0.73043748543010301</v>
      </c>
    </row>
    <row r="157" spans="1:45" x14ac:dyDescent="0.25">
      <c r="A157" t="s">
        <v>383</v>
      </c>
      <c r="B157" t="s">
        <v>384</v>
      </c>
      <c r="C157" t="s">
        <v>141</v>
      </c>
      <c r="D157">
        <v>20.37</v>
      </c>
      <c r="E157" s="2">
        <f t="shared" si="22"/>
        <v>4962.7430999999997</v>
      </c>
      <c r="F157">
        <v>29.36</v>
      </c>
      <c r="G157" s="2">
        <f t="shared" si="23"/>
        <v>7152.9767999999995</v>
      </c>
      <c r="H157">
        <v>22.76</v>
      </c>
      <c r="I157" s="2">
        <f t="shared" si="24"/>
        <v>5545.0187999999998</v>
      </c>
      <c r="J157">
        <v>16.850000000000001</v>
      </c>
      <c r="K157" s="2">
        <f t="shared" si="25"/>
        <v>4105.1655000000001</v>
      </c>
      <c r="L157">
        <v>7.84</v>
      </c>
      <c r="M157" s="2">
        <f t="shared" si="26"/>
        <v>1910.0591999999999</v>
      </c>
      <c r="N157">
        <v>0.91</v>
      </c>
      <c r="O157" s="2">
        <f t="shared" si="27"/>
        <v>221.70330000000001</v>
      </c>
      <c r="P157">
        <v>1.42</v>
      </c>
      <c r="Q157" s="2">
        <f t="shared" si="28"/>
        <v>345.95459999999997</v>
      </c>
      <c r="R157">
        <v>0.5</v>
      </c>
      <c r="S157" s="3">
        <f t="shared" si="29"/>
        <v>121.815</v>
      </c>
      <c r="T157" t="s">
        <v>142</v>
      </c>
      <c r="U157" s="4">
        <f t="shared" si="30"/>
        <v>24365.436299999998</v>
      </c>
      <c r="V157" s="4">
        <f t="shared" si="31"/>
        <v>2.4362999999975727</v>
      </c>
      <c r="W157">
        <v>24363</v>
      </c>
      <c r="X157">
        <v>12350</v>
      </c>
      <c r="Y157">
        <v>12013</v>
      </c>
      <c r="Z157">
        <v>717</v>
      </c>
      <c r="AA157">
        <v>3488</v>
      </c>
      <c r="AB157">
        <v>3914</v>
      </c>
      <c r="AC157">
        <v>3725</v>
      </c>
      <c r="AD157">
        <v>4278</v>
      </c>
      <c r="AE157">
        <v>4094</v>
      </c>
      <c r="AF157">
        <v>2553</v>
      </c>
      <c r="AG157">
        <v>1347</v>
      </c>
      <c r="AH157">
        <v>247</v>
      </c>
      <c r="AI157" s="5">
        <v>50.691622542379797</v>
      </c>
      <c r="AJ157" s="5">
        <v>49.308377457620203</v>
      </c>
      <c r="AK157" s="5">
        <v>2.9429873168328999</v>
      </c>
      <c r="AL157" s="5">
        <v>14.3167918565037</v>
      </c>
      <c r="AM157" s="5">
        <v>16.065344990354198</v>
      </c>
      <c r="AN157" s="5">
        <v>15.2895784591389</v>
      </c>
      <c r="AO157" s="5">
        <v>17.5594138652875</v>
      </c>
      <c r="AP157" s="5">
        <v>16.804170258178399</v>
      </c>
      <c r="AQ157" s="5">
        <v>10.4790050486393</v>
      </c>
      <c r="AR157" s="5">
        <v>5.5288757542174602</v>
      </c>
      <c r="AS157" s="5">
        <v>1.0138324508476</v>
      </c>
    </row>
    <row r="158" spans="1:45" x14ac:dyDescent="0.25">
      <c r="A158" t="s">
        <v>385</v>
      </c>
      <c r="B158" t="s">
        <v>386</v>
      </c>
      <c r="C158" t="s">
        <v>141</v>
      </c>
      <c r="D158">
        <v>17.8</v>
      </c>
      <c r="E158" s="2">
        <f t="shared" si="22"/>
        <v>6542.2120000000004</v>
      </c>
      <c r="F158">
        <v>34.369999999999997</v>
      </c>
      <c r="G158" s="2">
        <f t="shared" si="23"/>
        <v>12632.3498</v>
      </c>
      <c r="H158">
        <v>22.75</v>
      </c>
      <c r="I158" s="2">
        <f t="shared" si="24"/>
        <v>8361.5349999999999</v>
      </c>
      <c r="J158">
        <v>14.13</v>
      </c>
      <c r="K158" s="2">
        <f t="shared" si="25"/>
        <v>5193.3402000000006</v>
      </c>
      <c r="L158">
        <v>8.52</v>
      </c>
      <c r="M158" s="2">
        <f t="shared" si="26"/>
        <v>3131.4407999999994</v>
      </c>
      <c r="N158">
        <v>0.85</v>
      </c>
      <c r="O158" s="2">
        <f t="shared" si="27"/>
        <v>312.40899999999999</v>
      </c>
      <c r="P158">
        <v>1.06</v>
      </c>
      <c r="Q158" s="2">
        <f t="shared" si="28"/>
        <v>389.59240000000005</v>
      </c>
      <c r="R158">
        <v>0.53</v>
      </c>
      <c r="S158" s="3">
        <f t="shared" si="29"/>
        <v>194.79620000000003</v>
      </c>
      <c r="T158" t="s">
        <v>142</v>
      </c>
      <c r="U158" s="4">
        <f t="shared" si="30"/>
        <v>36757.6754</v>
      </c>
      <c r="V158" s="4">
        <f t="shared" si="31"/>
        <v>3.6754000000000815</v>
      </c>
      <c r="W158">
        <v>36754</v>
      </c>
      <c r="X158">
        <v>18821</v>
      </c>
      <c r="Y158">
        <v>17933</v>
      </c>
      <c r="Z158">
        <v>1192</v>
      </c>
      <c r="AA158">
        <v>6136</v>
      </c>
      <c r="AB158">
        <v>6878</v>
      </c>
      <c r="AC158">
        <v>5944</v>
      </c>
      <c r="AD158">
        <v>6590</v>
      </c>
      <c r="AE158">
        <v>5049</v>
      </c>
      <c r="AF158">
        <v>3065</v>
      </c>
      <c r="AG158">
        <v>1612</v>
      </c>
      <c r="AH158">
        <v>288</v>
      </c>
      <c r="AI158" s="5">
        <v>51.208031778854</v>
      </c>
      <c r="AJ158" s="5">
        <v>48.791968221146</v>
      </c>
      <c r="AK158" s="5">
        <v>3.24318441530174</v>
      </c>
      <c r="AL158" s="5">
        <v>16.694781520378701</v>
      </c>
      <c r="AM158" s="5">
        <v>18.7136094030582</v>
      </c>
      <c r="AN158" s="5">
        <v>16.1723893997932</v>
      </c>
      <c r="AO158" s="5">
        <v>17.930021222179899</v>
      </c>
      <c r="AP158" s="5">
        <v>13.737280296022201</v>
      </c>
      <c r="AQ158" s="5">
        <v>8.3392283833052208</v>
      </c>
      <c r="AR158" s="5">
        <v>4.3859171790825497</v>
      </c>
      <c r="AS158" s="5">
        <v>0.78358818087827198</v>
      </c>
    </row>
    <row r="159" spans="1:45" x14ac:dyDescent="0.25">
      <c r="A159" t="s">
        <v>387</v>
      </c>
      <c r="B159" t="s">
        <v>388</v>
      </c>
      <c r="C159" t="s">
        <v>217</v>
      </c>
      <c r="D159">
        <v>22.54</v>
      </c>
      <c r="E159" s="2">
        <f t="shared" si="22"/>
        <v>3608.6539999999995</v>
      </c>
      <c r="F159">
        <v>28.23</v>
      </c>
      <c r="G159" s="2">
        <f t="shared" si="23"/>
        <v>4519.6229999999996</v>
      </c>
      <c r="H159">
        <v>22.68</v>
      </c>
      <c r="I159" s="2">
        <f t="shared" si="24"/>
        <v>3631.0679999999998</v>
      </c>
      <c r="J159">
        <v>14.31</v>
      </c>
      <c r="K159" s="2">
        <f t="shared" si="25"/>
        <v>2291.0309999999999</v>
      </c>
      <c r="L159">
        <v>9.74</v>
      </c>
      <c r="M159" s="2">
        <f t="shared" si="26"/>
        <v>1559.374</v>
      </c>
      <c r="N159">
        <v>1.01</v>
      </c>
      <c r="O159" s="2">
        <f t="shared" si="27"/>
        <v>161.70099999999999</v>
      </c>
      <c r="P159">
        <v>1.05</v>
      </c>
      <c r="Q159" s="2">
        <f t="shared" si="28"/>
        <v>168.10499999999999</v>
      </c>
      <c r="R159">
        <v>0.44</v>
      </c>
      <c r="S159" s="3">
        <f t="shared" si="29"/>
        <v>70.444000000000003</v>
      </c>
      <c r="T159" t="s">
        <v>218</v>
      </c>
      <c r="U159" s="4">
        <f t="shared" si="30"/>
        <v>16010</v>
      </c>
      <c r="V159" s="4">
        <f t="shared" si="31"/>
        <v>0</v>
      </c>
      <c r="W159">
        <v>16010</v>
      </c>
      <c r="X159">
        <v>8098</v>
      </c>
      <c r="Y159">
        <v>7912</v>
      </c>
      <c r="Z159">
        <v>516</v>
      </c>
      <c r="AA159">
        <v>2474</v>
      </c>
      <c r="AB159">
        <v>3052</v>
      </c>
      <c r="AC159">
        <v>2506</v>
      </c>
      <c r="AD159">
        <v>2773</v>
      </c>
      <c r="AE159">
        <v>2488</v>
      </c>
      <c r="AF159">
        <v>1434</v>
      </c>
      <c r="AG159">
        <v>655</v>
      </c>
      <c r="AH159">
        <v>112</v>
      </c>
      <c r="AI159" s="5">
        <v>50.580886945659003</v>
      </c>
      <c r="AJ159" s="5">
        <v>49.419113054340997</v>
      </c>
      <c r="AK159" s="5">
        <v>3.2229856339787601</v>
      </c>
      <c r="AL159" s="5">
        <v>15.4528419737664</v>
      </c>
      <c r="AM159" s="5">
        <v>19.063085571517799</v>
      </c>
      <c r="AN159" s="5">
        <v>15.6527170518426</v>
      </c>
      <c r="AO159" s="5">
        <v>17.3204247345409</v>
      </c>
      <c r="AP159" s="5">
        <v>15.540287320424699</v>
      </c>
      <c r="AQ159" s="5">
        <v>8.9569019362898192</v>
      </c>
      <c r="AR159" s="5">
        <v>4.0911930043722702</v>
      </c>
      <c r="AS159" s="5">
        <v>0.69956277326670802</v>
      </c>
    </row>
    <row r="160" spans="1:45" x14ac:dyDescent="0.25">
      <c r="A160" t="s">
        <v>389</v>
      </c>
      <c r="B160" t="s">
        <v>390</v>
      </c>
      <c r="C160" t="s">
        <v>113</v>
      </c>
      <c r="D160">
        <v>34.520000000000003</v>
      </c>
      <c r="E160" s="2">
        <f t="shared" si="22"/>
        <v>28054.058800000003</v>
      </c>
      <c r="F160">
        <v>18.03</v>
      </c>
      <c r="G160" s="2">
        <f t="shared" si="23"/>
        <v>14652.8007</v>
      </c>
      <c r="H160">
        <v>22.67</v>
      </c>
      <c r="I160" s="2">
        <f t="shared" si="24"/>
        <v>18423.6823</v>
      </c>
      <c r="J160">
        <v>12.28</v>
      </c>
      <c r="K160" s="2">
        <f t="shared" si="25"/>
        <v>9979.8331999999991</v>
      </c>
      <c r="L160">
        <v>8.9700000000000006</v>
      </c>
      <c r="M160" s="2">
        <f t="shared" si="26"/>
        <v>7289.8293000000003</v>
      </c>
      <c r="N160">
        <v>1.19</v>
      </c>
      <c r="O160" s="2">
        <f t="shared" si="27"/>
        <v>967.10109999999997</v>
      </c>
      <c r="P160">
        <v>1.57</v>
      </c>
      <c r="Q160" s="2">
        <f t="shared" si="28"/>
        <v>1275.9232999999999</v>
      </c>
      <c r="R160">
        <v>0.78</v>
      </c>
      <c r="S160" s="3">
        <f t="shared" si="29"/>
        <v>633.89819999999997</v>
      </c>
      <c r="T160" t="s">
        <v>114</v>
      </c>
      <c r="U160" s="4">
        <f t="shared" si="30"/>
        <v>81277.126900000003</v>
      </c>
      <c r="V160" s="4">
        <f t="shared" si="31"/>
        <v>8.1269000000029337</v>
      </c>
      <c r="W160">
        <v>81269</v>
      </c>
      <c r="X160">
        <v>41591</v>
      </c>
      <c r="Y160">
        <v>39678</v>
      </c>
      <c r="Z160">
        <v>2571</v>
      </c>
      <c r="AA160">
        <v>13130</v>
      </c>
      <c r="AB160">
        <v>15642</v>
      </c>
      <c r="AC160">
        <v>13372</v>
      </c>
      <c r="AD160">
        <v>13032</v>
      </c>
      <c r="AE160">
        <v>12436</v>
      </c>
      <c r="AF160">
        <v>7305</v>
      </c>
      <c r="AG160">
        <v>3143</v>
      </c>
      <c r="AH160">
        <v>638</v>
      </c>
      <c r="AI160" s="5">
        <v>51.176955542703901</v>
      </c>
      <c r="AJ160" s="5">
        <v>48.823044457296099</v>
      </c>
      <c r="AK160" s="5">
        <v>3.16356790412088</v>
      </c>
      <c r="AL160" s="5">
        <v>16.156221929641099</v>
      </c>
      <c r="AM160" s="5">
        <v>19.247191426004999</v>
      </c>
      <c r="AN160" s="5">
        <v>16.4539984495933</v>
      </c>
      <c r="AO160" s="5">
        <v>16.035634743875299</v>
      </c>
      <c r="AP160" s="5">
        <v>15.302267777381299</v>
      </c>
      <c r="AQ160" s="5">
        <v>8.9886672655009896</v>
      </c>
      <c r="AR160" s="5">
        <v>3.8674033149171301</v>
      </c>
      <c r="AS160" s="5">
        <v>0.785047188965042</v>
      </c>
    </row>
    <row r="161" spans="1:45" x14ac:dyDescent="0.25">
      <c r="A161" t="s">
        <v>391</v>
      </c>
      <c r="B161" t="s">
        <v>392</v>
      </c>
      <c r="C161" t="s">
        <v>217</v>
      </c>
      <c r="D161">
        <v>26.54</v>
      </c>
      <c r="E161" s="2">
        <f t="shared" si="22"/>
        <v>54007.572999999997</v>
      </c>
      <c r="F161">
        <v>21.54</v>
      </c>
      <c r="G161" s="2">
        <f t="shared" si="23"/>
        <v>43832.822999999997</v>
      </c>
      <c r="H161">
        <v>22.62</v>
      </c>
      <c r="I161" s="2">
        <f t="shared" si="24"/>
        <v>46030.569000000003</v>
      </c>
      <c r="J161">
        <v>14.08</v>
      </c>
      <c r="K161" s="2">
        <f t="shared" si="25"/>
        <v>28652.096000000001</v>
      </c>
      <c r="L161">
        <v>11.91</v>
      </c>
      <c r="M161" s="2">
        <f t="shared" si="26"/>
        <v>24236.254500000003</v>
      </c>
      <c r="N161">
        <v>1.38</v>
      </c>
      <c r="O161" s="2">
        <f t="shared" si="27"/>
        <v>2808.2309999999998</v>
      </c>
      <c r="P161">
        <v>1.28</v>
      </c>
      <c r="Q161" s="2">
        <f t="shared" si="28"/>
        <v>2604.7359999999999</v>
      </c>
      <c r="R161">
        <v>0.65</v>
      </c>
      <c r="S161" s="3">
        <f t="shared" si="29"/>
        <v>1322.7175</v>
      </c>
      <c r="T161" t="s">
        <v>218</v>
      </c>
      <c r="U161" s="4">
        <f t="shared" si="30"/>
        <v>203495</v>
      </c>
      <c r="V161" s="4">
        <f t="shared" si="31"/>
        <v>0</v>
      </c>
      <c r="W161">
        <v>203495</v>
      </c>
      <c r="X161">
        <v>105026</v>
      </c>
      <c r="Y161">
        <v>98469</v>
      </c>
      <c r="Z161">
        <v>6581</v>
      </c>
      <c r="AA161">
        <v>34316</v>
      </c>
      <c r="AB161">
        <v>40397</v>
      </c>
      <c r="AC161">
        <v>34598</v>
      </c>
      <c r="AD161">
        <v>32293</v>
      </c>
      <c r="AE161">
        <v>28529</v>
      </c>
      <c r="AF161">
        <v>17869</v>
      </c>
      <c r="AG161">
        <v>7561</v>
      </c>
      <c r="AH161">
        <v>1351</v>
      </c>
      <c r="AI161" s="5">
        <v>51.611096095727198</v>
      </c>
      <c r="AJ161" s="5">
        <v>48.388903904272802</v>
      </c>
      <c r="AK161" s="5">
        <v>3.2339860930244</v>
      </c>
      <c r="AL161" s="5">
        <v>16.863313594928599</v>
      </c>
      <c r="AM161" s="5">
        <v>19.851593405243399</v>
      </c>
      <c r="AN161" s="5">
        <v>17.0018919383769</v>
      </c>
      <c r="AO161" s="5">
        <v>15.869185975085401</v>
      </c>
      <c r="AP161" s="5">
        <v>14.019509078847101</v>
      </c>
      <c r="AQ161" s="5">
        <v>8.7810511314774295</v>
      </c>
      <c r="AR161" s="5">
        <v>3.7155704071353099</v>
      </c>
      <c r="AS161" s="5">
        <v>0.66389837588147105</v>
      </c>
    </row>
    <row r="162" spans="1:45" x14ac:dyDescent="0.25">
      <c r="A162" t="s">
        <v>393</v>
      </c>
      <c r="B162" t="s">
        <v>394</v>
      </c>
      <c r="C162" t="s">
        <v>147</v>
      </c>
      <c r="D162">
        <v>24.85</v>
      </c>
      <c r="E162" s="2">
        <f t="shared" si="22"/>
        <v>10468.559500000001</v>
      </c>
      <c r="F162">
        <v>27.61</v>
      </c>
      <c r="G162" s="2">
        <f t="shared" si="23"/>
        <v>11631.2647</v>
      </c>
      <c r="H162">
        <v>22.6</v>
      </c>
      <c r="I162" s="2">
        <f t="shared" si="24"/>
        <v>9520.7020000000011</v>
      </c>
      <c r="J162">
        <v>13.6</v>
      </c>
      <c r="K162" s="2">
        <f t="shared" si="25"/>
        <v>5729.2719999999999</v>
      </c>
      <c r="L162">
        <v>8.5</v>
      </c>
      <c r="M162" s="2">
        <f t="shared" si="26"/>
        <v>3580.7950000000001</v>
      </c>
      <c r="N162">
        <v>1.02</v>
      </c>
      <c r="O162" s="2">
        <f t="shared" si="27"/>
        <v>429.69540000000001</v>
      </c>
      <c r="P162">
        <v>1.32</v>
      </c>
      <c r="Q162" s="2">
        <f t="shared" si="28"/>
        <v>556.07640000000004</v>
      </c>
      <c r="R162">
        <v>0.51</v>
      </c>
      <c r="S162" s="3">
        <f t="shared" si="29"/>
        <v>214.8477</v>
      </c>
      <c r="T162" t="s">
        <v>148</v>
      </c>
      <c r="U162" s="4">
        <f t="shared" si="30"/>
        <v>42131.212700000004</v>
      </c>
      <c r="V162" s="4">
        <f t="shared" si="31"/>
        <v>4.2127000000036787</v>
      </c>
      <c r="W162">
        <v>42127</v>
      </c>
      <c r="X162">
        <v>21493</v>
      </c>
      <c r="Y162">
        <v>20634</v>
      </c>
      <c r="Z162">
        <v>1371</v>
      </c>
      <c r="AA162">
        <v>6450</v>
      </c>
      <c r="AB162">
        <v>7649</v>
      </c>
      <c r="AC162">
        <v>7024</v>
      </c>
      <c r="AD162">
        <v>7161</v>
      </c>
      <c r="AE162">
        <v>6602</v>
      </c>
      <c r="AF162">
        <v>4009</v>
      </c>
      <c r="AG162">
        <v>1582</v>
      </c>
      <c r="AH162">
        <v>279</v>
      </c>
      <c r="AI162" s="5">
        <v>51.019536164455097</v>
      </c>
      <c r="AJ162" s="5">
        <v>48.980463835544903</v>
      </c>
      <c r="AK162" s="5">
        <v>3.2544448928240799</v>
      </c>
      <c r="AL162" s="5">
        <v>15.3108457758682</v>
      </c>
      <c r="AM162" s="5">
        <v>18.1570014480025</v>
      </c>
      <c r="AN162" s="5">
        <v>16.6733923611935</v>
      </c>
      <c r="AO162" s="5">
        <v>16.9985994730221</v>
      </c>
      <c r="AP162" s="5">
        <v>15.6716595057801</v>
      </c>
      <c r="AQ162" s="5">
        <v>9.5164621264272302</v>
      </c>
      <c r="AR162" s="5">
        <v>3.75531132053078</v>
      </c>
      <c r="AS162" s="5">
        <v>0.66228309635150895</v>
      </c>
    </row>
    <row r="163" spans="1:45" x14ac:dyDescent="0.25">
      <c r="A163" t="s">
        <v>395</v>
      </c>
      <c r="B163" t="s">
        <v>396</v>
      </c>
      <c r="C163" t="s">
        <v>207</v>
      </c>
      <c r="D163">
        <v>13.55</v>
      </c>
      <c r="E163" s="2">
        <f t="shared" si="22"/>
        <v>1578.4395000000002</v>
      </c>
      <c r="F163">
        <v>36.5</v>
      </c>
      <c r="G163" s="2">
        <f t="shared" si="23"/>
        <v>4251.8850000000002</v>
      </c>
      <c r="H163">
        <v>22.58</v>
      </c>
      <c r="I163" s="2">
        <f t="shared" si="24"/>
        <v>2630.3442</v>
      </c>
      <c r="J163">
        <v>17.07</v>
      </c>
      <c r="K163" s="2">
        <f t="shared" si="25"/>
        <v>1988.4842999999998</v>
      </c>
      <c r="L163">
        <v>8.3000000000000007</v>
      </c>
      <c r="M163" s="2">
        <f t="shared" si="26"/>
        <v>966.86700000000008</v>
      </c>
      <c r="N163">
        <v>0.43</v>
      </c>
      <c r="O163" s="2">
        <f t="shared" si="27"/>
        <v>50.090699999999998</v>
      </c>
      <c r="P163">
        <v>1.05</v>
      </c>
      <c r="Q163" s="2">
        <f t="shared" si="28"/>
        <v>122.31450000000001</v>
      </c>
      <c r="R163">
        <v>0.52</v>
      </c>
      <c r="S163" s="3">
        <f t="shared" si="29"/>
        <v>60.574800000000003</v>
      </c>
      <c r="T163" t="s">
        <v>208</v>
      </c>
      <c r="U163" s="4">
        <f t="shared" si="30"/>
        <v>11649</v>
      </c>
      <c r="V163" s="4">
        <f t="shared" si="31"/>
        <v>0</v>
      </c>
      <c r="W163">
        <v>11649</v>
      </c>
      <c r="X163">
        <v>5754</v>
      </c>
      <c r="Y163">
        <v>5895</v>
      </c>
      <c r="Z163">
        <v>307</v>
      </c>
      <c r="AA163">
        <v>1525</v>
      </c>
      <c r="AB163">
        <v>1731</v>
      </c>
      <c r="AC163">
        <v>1756</v>
      </c>
      <c r="AD163">
        <v>2196</v>
      </c>
      <c r="AE163">
        <v>2104</v>
      </c>
      <c r="AF163">
        <v>1327</v>
      </c>
      <c r="AG163">
        <v>589</v>
      </c>
      <c r="AH163">
        <v>114</v>
      </c>
      <c r="AI163" s="5">
        <v>49.394797836724202</v>
      </c>
      <c r="AJ163" s="5">
        <v>50.605202163275798</v>
      </c>
      <c r="AK163" s="5">
        <v>2.6354193493003701</v>
      </c>
      <c r="AL163" s="5">
        <v>13.091252468023001</v>
      </c>
      <c r="AM163" s="5">
        <v>14.8596446046871</v>
      </c>
      <c r="AN163" s="5">
        <v>15.0742553008842</v>
      </c>
      <c r="AO163" s="5">
        <v>18.851403553953102</v>
      </c>
      <c r="AP163" s="5">
        <v>18.061636191947802</v>
      </c>
      <c r="AQ163" s="5">
        <v>11.391535754142</v>
      </c>
      <c r="AR163" s="5">
        <v>5.0562280024036399</v>
      </c>
      <c r="AS163" s="5">
        <v>0.97862477465876896</v>
      </c>
    </row>
    <row r="164" spans="1:45" x14ac:dyDescent="0.25">
      <c r="A164" t="s">
        <v>397</v>
      </c>
      <c r="B164" t="s">
        <v>398</v>
      </c>
      <c r="C164" t="s">
        <v>81</v>
      </c>
      <c r="D164">
        <v>26.94</v>
      </c>
      <c r="E164" s="2">
        <f t="shared" si="22"/>
        <v>18930.738000000001</v>
      </c>
      <c r="F164">
        <v>22.8</v>
      </c>
      <c r="G164" s="2">
        <f t="shared" si="23"/>
        <v>16021.56</v>
      </c>
      <c r="H164">
        <v>22.56</v>
      </c>
      <c r="I164" s="2">
        <f t="shared" si="24"/>
        <v>15852.912</v>
      </c>
      <c r="J164">
        <v>12.2</v>
      </c>
      <c r="K164" s="2">
        <f t="shared" si="25"/>
        <v>8572.94</v>
      </c>
      <c r="L164">
        <v>12.13</v>
      </c>
      <c r="M164" s="2">
        <f t="shared" si="26"/>
        <v>8523.7510000000002</v>
      </c>
      <c r="N164">
        <v>1.45</v>
      </c>
      <c r="O164" s="2">
        <f t="shared" si="27"/>
        <v>1018.915</v>
      </c>
      <c r="P164">
        <v>1.19</v>
      </c>
      <c r="Q164" s="2">
        <f t="shared" si="28"/>
        <v>836.21300000000008</v>
      </c>
      <c r="R164">
        <v>0.73</v>
      </c>
      <c r="S164" s="3">
        <f t="shared" si="29"/>
        <v>512.971</v>
      </c>
      <c r="T164" t="s">
        <v>82</v>
      </c>
      <c r="U164" s="4">
        <f t="shared" si="30"/>
        <v>70270</v>
      </c>
      <c r="V164" s="4">
        <f t="shared" si="31"/>
        <v>0</v>
      </c>
      <c r="W164">
        <v>70270</v>
      </c>
      <c r="X164">
        <v>37115</v>
      </c>
      <c r="Y164">
        <v>33155</v>
      </c>
      <c r="Z164">
        <v>2235</v>
      </c>
      <c r="AA164">
        <v>12190</v>
      </c>
      <c r="AB164">
        <v>13530</v>
      </c>
      <c r="AC164">
        <v>10771</v>
      </c>
      <c r="AD164">
        <v>11925</v>
      </c>
      <c r="AE164">
        <v>10388</v>
      </c>
      <c r="AF164">
        <v>6222</v>
      </c>
      <c r="AG164">
        <v>2563</v>
      </c>
      <c r="AH164">
        <v>446</v>
      </c>
      <c r="AI164" s="5">
        <v>52.817703145012104</v>
      </c>
      <c r="AJ164" s="5">
        <v>47.182296854987896</v>
      </c>
      <c r="AK164" s="5">
        <v>3.18058915611214</v>
      </c>
      <c r="AL164" s="5">
        <v>17.3473744129785</v>
      </c>
      <c r="AM164" s="5">
        <v>19.254304824249299</v>
      </c>
      <c r="AN164" s="5">
        <v>15.3280204923865</v>
      </c>
      <c r="AO164" s="5">
        <v>16.970257577913799</v>
      </c>
      <c r="AP164" s="5">
        <v>14.782979934538201</v>
      </c>
      <c r="AQ164" s="5">
        <v>8.8544186708410404</v>
      </c>
      <c r="AR164" s="5">
        <v>3.64736018215455</v>
      </c>
      <c r="AS164" s="5">
        <v>0.634694748825957</v>
      </c>
    </row>
    <row r="165" spans="1:45" x14ac:dyDescent="0.25">
      <c r="A165" t="s">
        <v>399</v>
      </c>
      <c r="B165" t="s">
        <v>400</v>
      </c>
      <c r="C165" t="s">
        <v>217</v>
      </c>
      <c r="D165">
        <v>21.59</v>
      </c>
      <c r="E165" s="2">
        <f t="shared" si="22"/>
        <v>3882.9615000000003</v>
      </c>
      <c r="F165">
        <v>29.9</v>
      </c>
      <c r="G165" s="2">
        <f t="shared" si="23"/>
        <v>5377.5150000000003</v>
      </c>
      <c r="H165">
        <v>22.55</v>
      </c>
      <c r="I165" s="2">
        <f t="shared" si="24"/>
        <v>4055.6174999999998</v>
      </c>
      <c r="J165">
        <v>13.66</v>
      </c>
      <c r="K165" s="2">
        <f t="shared" si="25"/>
        <v>2456.7510000000002</v>
      </c>
      <c r="L165">
        <v>9.75</v>
      </c>
      <c r="M165" s="2">
        <f t="shared" si="26"/>
        <v>1753.5374999999999</v>
      </c>
      <c r="N165">
        <v>0.73</v>
      </c>
      <c r="O165" s="2">
        <f t="shared" si="27"/>
        <v>131.29049999999998</v>
      </c>
      <c r="P165">
        <v>1.4</v>
      </c>
      <c r="Q165" s="2">
        <f t="shared" si="28"/>
        <v>251.79</v>
      </c>
      <c r="R165">
        <v>0.42</v>
      </c>
      <c r="S165" s="3">
        <f t="shared" si="29"/>
        <v>75.536999999999992</v>
      </c>
      <c r="T165" t="s">
        <v>218</v>
      </c>
      <c r="U165" s="4">
        <f t="shared" si="30"/>
        <v>17985</v>
      </c>
      <c r="V165" s="4">
        <f t="shared" si="31"/>
        <v>0</v>
      </c>
      <c r="W165">
        <v>17985</v>
      </c>
      <c r="X165">
        <v>8978</v>
      </c>
      <c r="Y165">
        <v>9007</v>
      </c>
      <c r="Z165">
        <v>489</v>
      </c>
      <c r="AA165">
        <v>2682</v>
      </c>
      <c r="AB165">
        <v>3079</v>
      </c>
      <c r="AC165">
        <v>2797</v>
      </c>
      <c r="AD165">
        <v>3263</v>
      </c>
      <c r="AE165">
        <v>2910</v>
      </c>
      <c r="AF165">
        <v>1883</v>
      </c>
      <c r="AG165">
        <v>734</v>
      </c>
      <c r="AH165">
        <v>148</v>
      </c>
      <c r="AI165" s="5">
        <v>49.919377258826799</v>
      </c>
      <c r="AJ165" s="5">
        <v>50.080622741173201</v>
      </c>
      <c r="AK165" s="5">
        <v>2.71893244370309</v>
      </c>
      <c r="AL165" s="5">
        <v>14.9124270225188</v>
      </c>
      <c r="AM165" s="5">
        <v>17.119822073950498</v>
      </c>
      <c r="AN165" s="5">
        <v>15.551848762857899</v>
      </c>
      <c r="AO165" s="5">
        <v>18.142896858493199</v>
      </c>
      <c r="AP165" s="5">
        <v>16.180150125104301</v>
      </c>
      <c r="AQ165" s="5">
        <v>10.4698359744231</v>
      </c>
      <c r="AR165" s="5">
        <v>4.0811787600778402</v>
      </c>
      <c r="AS165" s="5">
        <v>0.82290797887128198</v>
      </c>
    </row>
    <row r="166" spans="1:45" x14ac:dyDescent="0.25">
      <c r="A166" t="s">
        <v>401</v>
      </c>
      <c r="B166" t="s">
        <v>402</v>
      </c>
      <c r="C166" t="s">
        <v>93</v>
      </c>
      <c r="D166">
        <v>20.98</v>
      </c>
      <c r="E166" s="2">
        <f t="shared" si="22"/>
        <v>2570.4695999999999</v>
      </c>
      <c r="F166">
        <v>28.98</v>
      </c>
      <c r="G166" s="2">
        <f t="shared" si="23"/>
        <v>3550.6296000000002</v>
      </c>
      <c r="H166">
        <v>22.53</v>
      </c>
      <c r="I166" s="2">
        <f t="shared" si="24"/>
        <v>2760.3755999999998</v>
      </c>
      <c r="J166">
        <v>17.829999999999998</v>
      </c>
      <c r="K166" s="2">
        <f t="shared" si="25"/>
        <v>2184.5315999999998</v>
      </c>
      <c r="L166">
        <v>7.32</v>
      </c>
      <c r="M166" s="2">
        <f t="shared" si="26"/>
        <v>896.84640000000002</v>
      </c>
      <c r="N166">
        <v>0.72</v>
      </c>
      <c r="O166" s="2">
        <f t="shared" si="27"/>
        <v>88.214400000000012</v>
      </c>
      <c r="P166">
        <v>1.22</v>
      </c>
      <c r="Q166" s="2">
        <f t="shared" si="28"/>
        <v>149.4744</v>
      </c>
      <c r="R166">
        <v>0.42</v>
      </c>
      <c r="S166" s="3">
        <f t="shared" si="29"/>
        <v>51.458400000000005</v>
      </c>
      <c r="T166" t="s">
        <v>94</v>
      </c>
      <c r="U166" s="4">
        <f t="shared" si="30"/>
        <v>12252</v>
      </c>
      <c r="V166" s="4">
        <f t="shared" si="31"/>
        <v>0</v>
      </c>
      <c r="W166">
        <v>12252</v>
      </c>
      <c r="X166">
        <v>6098</v>
      </c>
      <c r="Y166">
        <v>6154</v>
      </c>
      <c r="Z166">
        <v>318</v>
      </c>
      <c r="AA166">
        <v>1723</v>
      </c>
      <c r="AB166">
        <v>2103</v>
      </c>
      <c r="AC166">
        <v>1894</v>
      </c>
      <c r="AD166">
        <v>2414</v>
      </c>
      <c r="AE166">
        <v>2030</v>
      </c>
      <c r="AF166">
        <v>1169</v>
      </c>
      <c r="AG166">
        <v>496</v>
      </c>
      <c r="AH166">
        <v>105</v>
      </c>
      <c r="AI166" s="5">
        <v>49.771465883121103</v>
      </c>
      <c r="AJ166" s="5">
        <v>50.228534116878897</v>
      </c>
      <c r="AK166" s="5">
        <v>2.5954946131243899</v>
      </c>
      <c r="AL166" s="5">
        <v>14.0630101207966</v>
      </c>
      <c r="AM166" s="5">
        <v>17.164544564152799</v>
      </c>
      <c r="AN166" s="5">
        <v>15.4587006203069</v>
      </c>
      <c r="AO166" s="5">
        <v>19.702905648057499</v>
      </c>
      <c r="AP166" s="5">
        <v>16.568723473718599</v>
      </c>
      <c r="AQ166" s="5">
        <v>9.5412993796931094</v>
      </c>
      <c r="AR166" s="5">
        <v>4.0483186418543902</v>
      </c>
      <c r="AS166" s="5">
        <v>0.857002938295788</v>
      </c>
    </row>
    <row r="167" spans="1:45" x14ac:dyDescent="0.25">
      <c r="A167" t="s">
        <v>403</v>
      </c>
      <c r="B167" t="s">
        <v>404</v>
      </c>
      <c r="C167" t="s">
        <v>199</v>
      </c>
      <c r="D167">
        <v>20.5</v>
      </c>
      <c r="E167" s="2">
        <f t="shared" si="22"/>
        <v>7407.2650000000003</v>
      </c>
      <c r="F167">
        <v>28.05</v>
      </c>
      <c r="G167" s="2">
        <f t="shared" si="23"/>
        <v>10135.306500000001</v>
      </c>
      <c r="H167">
        <v>22.49</v>
      </c>
      <c r="I167" s="2">
        <f t="shared" si="24"/>
        <v>8126.3116999999993</v>
      </c>
      <c r="J167">
        <v>16.72</v>
      </c>
      <c r="K167" s="2">
        <f t="shared" si="25"/>
        <v>6041.4376000000002</v>
      </c>
      <c r="L167">
        <v>9.73</v>
      </c>
      <c r="M167" s="2">
        <f t="shared" si="26"/>
        <v>3515.7409000000002</v>
      </c>
      <c r="N167">
        <v>1.06</v>
      </c>
      <c r="O167" s="2">
        <f t="shared" si="27"/>
        <v>383.00980000000004</v>
      </c>
      <c r="P167">
        <v>0.95</v>
      </c>
      <c r="Q167" s="2">
        <f t="shared" si="28"/>
        <v>343.26349999999996</v>
      </c>
      <c r="R167">
        <v>0.5</v>
      </c>
      <c r="S167" s="3">
        <f t="shared" si="29"/>
        <v>180.66499999999999</v>
      </c>
      <c r="T167" t="s">
        <v>200</v>
      </c>
      <c r="U167" s="4">
        <f t="shared" si="30"/>
        <v>36133</v>
      </c>
      <c r="V167" s="4">
        <f t="shared" si="31"/>
        <v>0</v>
      </c>
      <c r="W167">
        <v>36133</v>
      </c>
      <c r="X167">
        <v>18343</v>
      </c>
      <c r="Y167">
        <v>17790</v>
      </c>
      <c r="Z167">
        <v>1143</v>
      </c>
      <c r="AA167">
        <v>5399</v>
      </c>
      <c r="AB167">
        <v>6433</v>
      </c>
      <c r="AC167">
        <v>5639</v>
      </c>
      <c r="AD167">
        <v>6501</v>
      </c>
      <c r="AE167">
        <v>5620</v>
      </c>
      <c r="AF167">
        <v>3484</v>
      </c>
      <c r="AG167">
        <v>1607</v>
      </c>
      <c r="AH167">
        <v>307</v>
      </c>
      <c r="AI167" s="5">
        <v>50.765228461517196</v>
      </c>
      <c r="AJ167" s="5">
        <v>49.234771538482804</v>
      </c>
      <c r="AK167" s="5">
        <v>3.1633133146984802</v>
      </c>
      <c r="AL167" s="5">
        <v>14.942019760329901</v>
      </c>
      <c r="AM167" s="5">
        <v>17.803669775551398</v>
      </c>
      <c r="AN167" s="5">
        <v>15.606232529820399</v>
      </c>
      <c r="AO167" s="5">
        <v>17.991863393573698</v>
      </c>
      <c r="AP167" s="5">
        <v>15.5536490189024</v>
      </c>
      <c r="AQ167" s="5">
        <v>9.6421553704370009</v>
      </c>
      <c r="AR167" s="5">
        <v>4.4474580023800998</v>
      </c>
      <c r="AS167" s="5">
        <v>0.84963883430659004</v>
      </c>
    </row>
    <row r="168" spans="1:45" x14ac:dyDescent="0.25">
      <c r="A168" t="s">
        <v>405</v>
      </c>
      <c r="B168" t="s">
        <v>406</v>
      </c>
      <c r="C168" t="s">
        <v>199</v>
      </c>
      <c r="D168">
        <v>19.329999999999998</v>
      </c>
      <c r="E168" s="2">
        <f t="shared" si="22"/>
        <v>3874.5051999999996</v>
      </c>
      <c r="F168">
        <v>32.58</v>
      </c>
      <c r="G168" s="2">
        <f t="shared" si="23"/>
        <v>6530.3352000000004</v>
      </c>
      <c r="H168">
        <v>22.39</v>
      </c>
      <c r="I168" s="2">
        <f t="shared" si="24"/>
        <v>4487.8516</v>
      </c>
      <c r="J168">
        <v>16.48</v>
      </c>
      <c r="K168" s="2">
        <f t="shared" si="25"/>
        <v>3303.2512000000002</v>
      </c>
      <c r="L168">
        <v>7.15</v>
      </c>
      <c r="M168" s="2">
        <f t="shared" si="26"/>
        <v>1433.146</v>
      </c>
      <c r="N168">
        <v>0.71</v>
      </c>
      <c r="O168" s="2">
        <f t="shared" si="27"/>
        <v>142.3124</v>
      </c>
      <c r="P168">
        <v>0.88</v>
      </c>
      <c r="Q168" s="2">
        <f t="shared" si="28"/>
        <v>176.38720000000001</v>
      </c>
      <c r="R168">
        <v>0.48</v>
      </c>
      <c r="S168" s="3">
        <f t="shared" si="29"/>
        <v>96.211199999999991</v>
      </c>
      <c r="T168" t="s">
        <v>200</v>
      </c>
      <c r="U168" s="4">
        <f t="shared" si="30"/>
        <v>20044</v>
      </c>
      <c r="V168" s="4">
        <f t="shared" si="31"/>
        <v>0</v>
      </c>
      <c r="W168">
        <v>20044</v>
      </c>
      <c r="X168">
        <v>10237</v>
      </c>
      <c r="Y168">
        <v>9807</v>
      </c>
      <c r="Z168">
        <v>608</v>
      </c>
      <c r="AA168">
        <v>3068</v>
      </c>
      <c r="AB168">
        <v>3374</v>
      </c>
      <c r="AC168">
        <v>3082</v>
      </c>
      <c r="AD168">
        <v>3578</v>
      </c>
      <c r="AE168">
        <v>3197</v>
      </c>
      <c r="AF168">
        <v>1984</v>
      </c>
      <c r="AG168">
        <v>985</v>
      </c>
      <c r="AH168">
        <v>168</v>
      </c>
      <c r="AI168" s="5">
        <v>51.0726401915785</v>
      </c>
      <c r="AJ168" s="5">
        <v>48.9273598084215</v>
      </c>
      <c r="AK168" s="5">
        <v>3.0333266813011401</v>
      </c>
      <c r="AL168" s="5">
        <v>15.306326082618201</v>
      </c>
      <c r="AM168" s="5">
        <v>16.832967471562601</v>
      </c>
      <c r="AN168" s="5">
        <v>15.3761724206745</v>
      </c>
      <c r="AO168" s="5">
        <v>17.850728397525401</v>
      </c>
      <c r="AP168" s="5">
        <v>15.9499101975654</v>
      </c>
      <c r="AQ168" s="5">
        <v>9.8982239074037093</v>
      </c>
      <c r="AR168" s="5">
        <v>4.91418878467372</v>
      </c>
      <c r="AS168" s="5">
        <v>0.83815605667531401</v>
      </c>
    </row>
    <row r="169" spans="1:45" x14ac:dyDescent="0.25">
      <c r="A169" t="s">
        <v>407</v>
      </c>
      <c r="B169" t="s">
        <v>408</v>
      </c>
      <c r="C169" t="s">
        <v>113</v>
      </c>
      <c r="D169">
        <v>25.39</v>
      </c>
      <c r="E169" s="2">
        <f t="shared" si="22"/>
        <v>20362.0183</v>
      </c>
      <c r="F169">
        <v>22.81</v>
      </c>
      <c r="G169" s="2">
        <f t="shared" si="23"/>
        <v>18292.935699999998</v>
      </c>
      <c r="H169">
        <v>22.37</v>
      </c>
      <c r="I169" s="2">
        <f t="shared" si="24"/>
        <v>17940.068900000002</v>
      </c>
      <c r="J169">
        <v>15.58</v>
      </c>
      <c r="K169" s="2">
        <f t="shared" si="25"/>
        <v>12494.6926</v>
      </c>
      <c r="L169">
        <v>10.45</v>
      </c>
      <c r="M169" s="2">
        <f t="shared" si="26"/>
        <v>8380.5864999999994</v>
      </c>
      <c r="N169">
        <v>1.38</v>
      </c>
      <c r="O169" s="2">
        <f t="shared" si="27"/>
        <v>1106.7185999999999</v>
      </c>
      <c r="P169">
        <v>1.42</v>
      </c>
      <c r="Q169" s="2">
        <f t="shared" si="28"/>
        <v>1138.7973999999999</v>
      </c>
      <c r="R169">
        <v>0.61</v>
      </c>
      <c r="S169" s="3">
        <f t="shared" si="29"/>
        <v>489.20169999999996</v>
      </c>
      <c r="T169" t="s">
        <v>114</v>
      </c>
      <c r="U169" s="4">
        <f t="shared" si="30"/>
        <v>80205.019700000004</v>
      </c>
      <c r="V169" s="4">
        <f t="shared" si="31"/>
        <v>8.0197000000043772</v>
      </c>
      <c r="W169">
        <v>80197</v>
      </c>
      <c r="X169">
        <v>41327</v>
      </c>
      <c r="Y169">
        <v>38870</v>
      </c>
      <c r="Z169">
        <v>2531</v>
      </c>
      <c r="AA169">
        <v>12616</v>
      </c>
      <c r="AB169">
        <v>15324</v>
      </c>
      <c r="AC169">
        <v>13451</v>
      </c>
      <c r="AD169">
        <v>12212</v>
      </c>
      <c r="AE169">
        <v>12107</v>
      </c>
      <c r="AF169">
        <v>7707</v>
      </c>
      <c r="AG169">
        <v>3513</v>
      </c>
      <c r="AH169">
        <v>736</v>
      </c>
      <c r="AI169" s="5">
        <v>51.531852812449301</v>
      </c>
      <c r="AJ169" s="5">
        <v>48.468147187550699</v>
      </c>
      <c r="AK169" s="5">
        <v>3.1559784031821598</v>
      </c>
      <c r="AL169" s="5">
        <v>15.7312617678966</v>
      </c>
      <c r="AM169" s="5">
        <v>19.1079466812973</v>
      </c>
      <c r="AN169" s="5">
        <v>16.772447847176299</v>
      </c>
      <c r="AO169" s="5">
        <v>15.2275022756462</v>
      </c>
      <c r="AP169" s="5">
        <v>15.0965746848386</v>
      </c>
      <c r="AQ169" s="5">
        <v>9.6100851652805002</v>
      </c>
      <c r="AR169" s="5">
        <v>4.3804631095926299</v>
      </c>
      <c r="AS169" s="5">
        <v>0.91774006508971695</v>
      </c>
    </row>
    <row r="170" spans="1:45" x14ac:dyDescent="0.25">
      <c r="A170" t="s">
        <v>409</v>
      </c>
      <c r="B170" t="s">
        <v>410</v>
      </c>
      <c r="C170" t="s">
        <v>411</v>
      </c>
      <c r="D170">
        <v>27.1</v>
      </c>
      <c r="E170" s="2">
        <f t="shared" si="22"/>
        <v>6204.2740000000003</v>
      </c>
      <c r="F170">
        <v>21.81</v>
      </c>
      <c r="G170" s="2">
        <f t="shared" si="23"/>
        <v>4993.1813999999995</v>
      </c>
      <c r="H170">
        <v>22.36</v>
      </c>
      <c r="I170" s="2">
        <f t="shared" si="24"/>
        <v>5119.0983999999999</v>
      </c>
      <c r="J170">
        <v>17.72</v>
      </c>
      <c r="K170" s="2">
        <f t="shared" si="25"/>
        <v>4056.8168000000001</v>
      </c>
      <c r="L170">
        <v>7.78</v>
      </c>
      <c r="M170" s="2">
        <f t="shared" si="26"/>
        <v>1781.1532</v>
      </c>
      <c r="N170">
        <v>0.89</v>
      </c>
      <c r="O170" s="2">
        <f t="shared" si="27"/>
        <v>203.75659999999999</v>
      </c>
      <c r="P170">
        <v>1.38</v>
      </c>
      <c r="Q170" s="2">
        <f t="shared" si="28"/>
        <v>315.93719999999996</v>
      </c>
      <c r="R170">
        <v>0.97</v>
      </c>
      <c r="S170" s="3">
        <f t="shared" si="29"/>
        <v>222.0718</v>
      </c>
      <c r="T170" t="s">
        <v>412</v>
      </c>
      <c r="U170" s="4">
        <f t="shared" si="30"/>
        <v>22896.289399999998</v>
      </c>
      <c r="V170" s="4">
        <f t="shared" si="31"/>
        <v>2.2893999999978405</v>
      </c>
      <c r="W170">
        <v>22894</v>
      </c>
      <c r="X170">
        <v>11154</v>
      </c>
      <c r="Y170">
        <v>11740</v>
      </c>
      <c r="Z170">
        <v>769</v>
      </c>
      <c r="AA170">
        <v>3429</v>
      </c>
      <c r="AB170">
        <v>4713</v>
      </c>
      <c r="AC170">
        <v>4168</v>
      </c>
      <c r="AD170">
        <v>3813</v>
      </c>
      <c r="AE170">
        <v>3219</v>
      </c>
      <c r="AF170">
        <v>1734</v>
      </c>
      <c r="AG170">
        <v>935</v>
      </c>
      <c r="AH170">
        <v>114</v>
      </c>
      <c r="AI170" s="5">
        <v>48.720188695728098</v>
      </c>
      <c r="AJ170" s="5">
        <v>51.279811304271902</v>
      </c>
      <c r="AK170" s="5">
        <v>3.3589586791299002</v>
      </c>
      <c r="AL170" s="5">
        <v>14.9777234209837</v>
      </c>
      <c r="AM170" s="5">
        <v>20.586179785096501</v>
      </c>
      <c r="AN170" s="5">
        <v>18.2056434000175</v>
      </c>
      <c r="AO170" s="5">
        <v>16.655018782213698</v>
      </c>
      <c r="AP170" s="5">
        <v>14.060452520310999</v>
      </c>
      <c r="AQ170" s="5">
        <v>7.57403686555429</v>
      </c>
      <c r="AR170" s="5">
        <v>4.0840394863283001</v>
      </c>
      <c r="AS170" s="5">
        <v>0.49794706036516101</v>
      </c>
    </row>
    <row r="171" spans="1:45" x14ac:dyDescent="0.25">
      <c r="A171" t="s">
        <v>413</v>
      </c>
      <c r="B171" t="s">
        <v>414</v>
      </c>
      <c r="C171" t="s">
        <v>93</v>
      </c>
      <c r="D171">
        <v>21.34</v>
      </c>
      <c r="E171" s="2">
        <f t="shared" si="22"/>
        <v>2819.8676</v>
      </c>
      <c r="F171">
        <v>27.6</v>
      </c>
      <c r="G171" s="2">
        <f t="shared" si="23"/>
        <v>3647.0640000000003</v>
      </c>
      <c r="H171">
        <v>22.35</v>
      </c>
      <c r="I171" s="2">
        <f t="shared" si="24"/>
        <v>2953.3290000000002</v>
      </c>
      <c r="J171">
        <v>18.46</v>
      </c>
      <c r="K171" s="2">
        <f t="shared" si="25"/>
        <v>2439.3044</v>
      </c>
      <c r="L171">
        <v>7.9</v>
      </c>
      <c r="M171" s="2">
        <f t="shared" si="26"/>
        <v>1043.9059999999999</v>
      </c>
      <c r="N171">
        <v>0.82</v>
      </c>
      <c r="O171" s="2">
        <f t="shared" si="27"/>
        <v>108.3548</v>
      </c>
      <c r="P171">
        <v>1.1299999999999999</v>
      </c>
      <c r="Q171" s="2">
        <f t="shared" si="28"/>
        <v>149.31819999999999</v>
      </c>
      <c r="R171">
        <v>0.41</v>
      </c>
      <c r="S171" s="3">
        <f t="shared" si="29"/>
        <v>54.177399999999999</v>
      </c>
      <c r="T171" t="s">
        <v>94</v>
      </c>
      <c r="U171" s="4">
        <f t="shared" si="30"/>
        <v>13215.321400000001</v>
      </c>
      <c r="V171" s="4">
        <f t="shared" si="31"/>
        <v>1.3214000000007218</v>
      </c>
      <c r="W171">
        <v>13214</v>
      </c>
      <c r="X171">
        <v>6590</v>
      </c>
      <c r="Y171">
        <v>6624</v>
      </c>
      <c r="Z171">
        <v>361</v>
      </c>
      <c r="AA171">
        <v>1830</v>
      </c>
      <c r="AB171">
        <v>2171</v>
      </c>
      <c r="AC171">
        <v>2085</v>
      </c>
      <c r="AD171">
        <v>2479</v>
      </c>
      <c r="AE171">
        <v>2089</v>
      </c>
      <c r="AF171">
        <v>1404</v>
      </c>
      <c r="AG171">
        <v>671</v>
      </c>
      <c r="AH171">
        <v>124</v>
      </c>
      <c r="AI171" s="5">
        <v>49.871348569698803</v>
      </c>
      <c r="AJ171" s="5">
        <v>50.128651430301197</v>
      </c>
      <c r="AK171" s="5">
        <v>2.7319509611018602</v>
      </c>
      <c r="AL171" s="5">
        <v>13.848948085364</v>
      </c>
      <c r="AM171" s="5">
        <v>16.429544422582101</v>
      </c>
      <c r="AN171" s="5">
        <v>15.7787195398819</v>
      </c>
      <c r="AO171" s="5">
        <v>18.760405630392</v>
      </c>
      <c r="AP171" s="5">
        <v>15.808990464658701</v>
      </c>
      <c r="AQ171" s="5">
        <v>10.625094596639901</v>
      </c>
      <c r="AR171" s="5">
        <v>5.0779476313001402</v>
      </c>
      <c r="AS171" s="5">
        <v>0.93839866807931005</v>
      </c>
    </row>
    <row r="172" spans="1:45" x14ac:dyDescent="0.25">
      <c r="A172" t="s">
        <v>415</v>
      </c>
      <c r="B172" t="s">
        <v>416</v>
      </c>
      <c r="C172" t="s">
        <v>147</v>
      </c>
      <c r="D172">
        <v>18.46</v>
      </c>
      <c r="E172" s="2">
        <f t="shared" si="22"/>
        <v>2816.9960000000005</v>
      </c>
      <c r="F172">
        <v>32.24</v>
      </c>
      <c r="G172" s="2">
        <f t="shared" si="23"/>
        <v>4919.8240000000005</v>
      </c>
      <c r="H172">
        <v>22.28</v>
      </c>
      <c r="I172" s="2">
        <f t="shared" si="24"/>
        <v>3399.9279999999999</v>
      </c>
      <c r="J172">
        <v>15.39</v>
      </c>
      <c r="K172" s="2">
        <f t="shared" si="25"/>
        <v>2348.5140000000001</v>
      </c>
      <c r="L172">
        <v>9.25</v>
      </c>
      <c r="M172" s="2">
        <f t="shared" si="26"/>
        <v>1411.55</v>
      </c>
      <c r="N172">
        <v>0.8</v>
      </c>
      <c r="O172" s="2">
        <f t="shared" si="27"/>
        <v>122.08</v>
      </c>
      <c r="P172">
        <v>1.23</v>
      </c>
      <c r="Q172" s="2">
        <f t="shared" si="28"/>
        <v>187.69799999999998</v>
      </c>
      <c r="R172">
        <v>0.35</v>
      </c>
      <c r="S172" s="3">
        <f t="shared" si="29"/>
        <v>53.41</v>
      </c>
      <c r="T172" t="s">
        <v>148</v>
      </c>
      <c r="U172" s="4">
        <f t="shared" si="30"/>
        <v>15260.000000000002</v>
      </c>
      <c r="V172" s="4">
        <f t="shared" si="31"/>
        <v>0</v>
      </c>
      <c r="W172">
        <v>15260</v>
      </c>
      <c r="X172">
        <v>7914</v>
      </c>
      <c r="Y172">
        <v>7346</v>
      </c>
      <c r="Z172">
        <v>430</v>
      </c>
      <c r="AA172">
        <v>2213</v>
      </c>
      <c r="AB172">
        <v>2675</v>
      </c>
      <c r="AC172">
        <v>2381</v>
      </c>
      <c r="AD172">
        <v>2693</v>
      </c>
      <c r="AE172">
        <v>2476</v>
      </c>
      <c r="AF172">
        <v>1570</v>
      </c>
      <c r="AG172">
        <v>692</v>
      </c>
      <c r="AH172">
        <v>130</v>
      </c>
      <c r="AI172" s="5">
        <v>51.861074705111399</v>
      </c>
      <c r="AJ172" s="5">
        <v>48.138925294888601</v>
      </c>
      <c r="AK172" s="5">
        <v>2.8178243774573999</v>
      </c>
      <c r="AL172" s="5">
        <v>14.501965923984301</v>
      </c>
      <c r="AM172" s="5">
        <v>17.529488859764101</v>
      </c>
      <c r="AN172" s="5">
        <v>15.6028833551769</v>
      </c>
      <c r="AO172" s="5">
        <v>17.6474442988204</v>
      </c>
      <c r="AP172" s="5">
        <v>16.225425950196598</v>
      </c>
      <c r="AQ172" s="5">
        <v>10.2883355176933</v>
      </c>
      <c r="AR172" s="5">
        <v>4.5347313237221503</v>
      </c>
      <c r="AS172" s="5">
        <v>0.85190039318479704</v>
      </c>
    </row>
    <row r="173" spans="1:45" x14ac:dyDescent="0.25">
      <c r="A173" t="s">
        <v>417</v>
      </c>
      <c r="B173" t="s">
        <v>418</v>
      </c>
      <c r="C173" t="s">
        <v>207</v>
      </c>
      <c r="D173">
        <v>19.73</v>
      </c>
      <c r="E173" s="2">
        <f t="shared" si="22"/>
        <v>1082.5851</v>
      </c>
      <c r="F173">
        <v>29.82</v>
      </c>
      <c r="G173" s="2">
        <f t="shared" si="23"/>
        <v>1636.2233999999999</v>
      </c>
      <c r="H173">
        <v>22.23</v>
      </c>
      <c r="I173" s="2">
        <f t="shared" si="24"/>
        <v>1219.7601000000002</v>
      </c>
      <c r="J173">
        <v>16.2</v>
      </c>
      <c r="K173" s="2">
        <f t="shared" si="25"/>
        <v>888.89399999999989</v>
      </c>
      <c r="L173">
        <v>9.32</v>
      </c>
      <c r="M173" s="2">
        <f t="shared" si="26"/>
        <v>511.38840000000005</v>
      </c>
      <c r="N173">
        <v>0.98</v>
      </c>
      <c r="O173" s="2">
        <f t="shared" si="27"/>
        <v>53.772600000000004</v>
      </c>
      <c r="P173">
        <v>1.19</v>
      </c>
      <c r="Q173" s="2">
        <f t="shared" si="28"/>
        <v>65.295299999999997</v>
      </c>
      <c r="R173">
        <v>0.54</v>
      </c>
      <c r="S173" s="3">
        <f t="shared" si="29"/>
        <v>29.629799999999999</v>
      </c>
      <c r="T173" t="s">
        <v>208</v>
      </c>
      <c r="U173" s="4">
        <f t="shared" si="30"/>
        <v>5487.5487000000003</v>
      </c>
      <c r="V173" s="4">
        <f t="shared" si="31"/>
        <v>0.54870000000028085</v>
      </c>
      <c r="W173">
        <v>5487</v>
      </c>
      <c r="X173">
        <v>2702</v>
      </c>
      <c r="Y173">
        <v>2785</v>
      </c>
      <c r="Z173">
        <v>126</v>
      </c>
      <c r="AA173">
        <v>712</v>
      </c>
      <c r="AB173">
        <v>961</v>
      </c>
      <c r="AC173">
        <v>917</v>
      </c>
      <c r="AD173">
        <v>1036</v>
      </c>
      <c r="AE173">
        <v>831</v>
      </c>
      <c r="AF173">
        <v>550</v>
      </c>
      <c r="AG173">
        <v>293</v>
      </c>
      <c r="AH173">
        <v>61</v>
      </c>
      <c r="AI173" s="5">
        <v>49.243666848915602</v>
      </c>
      <c r="AJ173" s="5">
        <v>50.756333151084398</v>
      </c>
      <c r="AK173" s="5">
        <v>2.2963367960634198</v>
      </c>
      <c r="AL173" s="5">
        <v>12.976125387279</v>
      </c>
      <c r="AM173" s="5">
        <v>17.514124293785301</v>
      </c>
      <c r="AN173" s="5">
        <v>16.712228904683801</v>
      </c>
      <c r="AO173" s="5">
        <v>18.8809914342993</v>
      </c>
      <c r="AP173" s="5">
        <v>15.144887916894501</v>
      </c>
      <c r="AQ173" s="5">
        <v>10.0236923637689</v>
      </c>
      <c r="AR173" s="5">
        <v>5.3398942956077997</v>
      </c>
      <c r="AS173" s="5">
        <v>1.1117186076180099</v>
      </c>
    </row>
    <row r="174" spans="1:45" x14ac:dyDescent="0.25">
      <c r="A174" t="s">
        <v>419</v>
      </c>
      <c r="B174" t="s">
        <v>420</v>
      </c>
      <c r="C174" t="s">
        <v>233</v>
      </c>
      <c r="D174">
        <v>24.09</v>
      </c>
      <c r="E174" s="2">
        <f t="shared" si="22"/>
        <v>19076.389199999998</v>
      </c>
      <c r="F174">
        <v>24.82</v>
      </c>
      <c r="G174" s="2">
        <f t="shared" si="23"/>
        <v>19654.461599999999</v>
      </c>
      <c r="H174">
        <v>22.18</v>
      </c>
      <c r="I174" s="2">
        <f t="shared" si="24"/>
        <v>17563.898400000002</v>
      </c>
      <c r="J174">
        <v>14.12</v>
      </c>
      <c r="K174" s="2">
        <f t="shared" si="25"/>
        <v>11181.345599999999</v>
      </c>
      <c r="L174">
        <v>11.73</v>
      </c>
      <c r="M174" s="2">
        <f t="shared" si="26"/>
        <v>9288.7523999999994</v>
      </c>
      <c r="N174">
        <v>1.23</v>
      </c>
      <c r="O174" s="2">
        <f t="shared" si="27"/>
        <v>974.01240000000007</v>
      </c>
      <c r="P174">
        <v>1.3</v>
      </c>
      <c r="Q174" s="2">
        <f t="shared" si="28"/>
        <v>1029.4440000000002</v>
      </c>
      <c r="R174">
        <v>0.53</v>
      </c>
      <c r="S174" s="3">
        <f t="shared" si="29"/>
        <v>419.69639999999998</v>
      </c>
      <c r="T174" t="s">
        <v>234</v>
      </c>
      <c r="U174" s="4">
        <f t="shared" si="30"/>
        <v>79188</v>
      </c>
      <c r="V174" s="4">
        <f t="shared" si="31"/>
        <v>0</v>
      </c>
      <c r="W174">
        <v>79188</v>
      </c>
      <c r="X174">
        <v>40201</v>
      </c>
      <c r="Y174">
        <v>38987</v>
      </c>
      <c r="Z174">
        <v>3451</v>
      </c>
      <c r="AA174">
        <v>14725</v>
      </c>
      <c r="AB174">
        <v>18444</v>
      </c>
      <c r="AC174">
        <v>16361</v>
      </c>
      <c r="AD174">
        <v>12287</v>
      </c>
      <c r="AE174">
        <v>8333</v>
      </c>
      <c r="AF174">
        <v>3951</v>
      </c>
      <c r="AG174">
        <v>1403</v>
      </c>
      <c r="AH174">
        <v>233</v>
      </c>
      <c r="AI174" s="5">
        <v>50.766530282365999</v>
      </c>
      <c r="AJ174" s="5">
        <v>49.233469717634001</v>
      </c>
      <c r="AK174" s="5">
        <v>4.3579835328585101</v>
      </c>
      <c r="AL174" s="5">
        <v>18.5949891397687</v>
      </c>
      <c r="AM174" s="5">
        <v>23.291407789058901</v>
      </c>
      <c r="AN174" s="5">
        <v>20.6609587311209</v>
      </c>
      <c r="AO174" s="5">
        <v>15.5162398343183</v>
      </c>
      <c r="AP174" s="5">
        <v>10.5230590493509</v>
      </c>
      <c r="AQ174" s="5">
        <v>4.9893923321715397</v>
      </c>
      <c r="AR174" s="5">
        <v>1.7717330908723501</v>
      </c>
      <c r="AS174" s="5">
        <v>0.29423650047987099</v>
      </c>
    </row>
    <row r="175" spans="1:45" x14ac:dyDescent="0.25">
      <c r="A175" t="s">
        <v>421</v>
      </c>
      <c r="B175" t="s">
        <v>422</v>
      </c>
      <c r="C175" t="s">
        <v>207</v>
      </c>
      <c r="D175">
        <v>16.68</v>
      </c>
      <c r="E175" s="2">
        <f t="shared" si="22"/>
        <v>2939.3496</v>
      </c>
      <c r="F175">
        <v>33.53</v>
      </c>
      <c r="G175" s="2">
        <f t="shared" si="23"/>
        <v>5908.6566000000003</v>
      </c>
      <c r="H175">
        <v>22.16</v>
      </c>
      <c r="I175" s="2">
        <f t="shared" si="24"/>
        <v>3905.0352000000003</v>
      </c>
      <c r="J175">
        <v>15.77</v>
      </c>
      <c r="K175" s="2">
        <f t="shared" si="25"/>
        <v>2778.9893999999999</v>
      </c>
      <c r="L175">
        <v>9.5500000000000007</v>
      </c>
      <c r="M175" s="2">
        <f t="shared" si="26"/>
        <v>1682.9010000000001</v>
      </c>
      <c r="N175">
        <v>0.73</v>
      </c>
      <c r="O175" s="2">
        <f t="shared" si="27"/>
        <v>128.64060000000001</v>
      </c>
      <c r="P175">
        <v>1.1200000000000001</v>
      </c>
      <c r="Q175" s="2">
        <f t="shared" si="28"/>
        <v>197.36640000000003</v>
      </c>
      <c r="R175">
        <v>0.46</v>
      </c>
      <c r="S175" s="3">
        <f t="shared" si="29"/>
        <v>81.061200000000014</v>
      </c>
      <c r="T175" t="s">
        <v>208</v>
      </c>
      <c r="U175" s="4">
        <f t="shared" si="30"/>
        <v>17622</v>
      </c>
      <c r="V175" s="4">
        <f t="shared" si="31"/>
        <v>0</v>
      </c>
      <c r="W175">
        <v>17622</v>
      </c>
      <c r="X175">
        <v>8963</v>
      </c>
      <c r="Y175">
        <v>8659</v>
      </c>
      <c r="Z175">
        <v>476</v>
      </c>
      <c r="AA175">
        <v>2305</v>
      </c>
      <c r="AB175">
        <v>2822</v>
      </c>
      <c r="AC175">
        <v>2657</v>
      </c>
      <c r="AD175">
        <v>3156</v>
      </c>
      <c r="AE175">
        <v>3099</v>
      </c>
      <c r="AF175">
        <v>1998</v>
      </c>
      <c r="AG175">
        <v>935</v>
      </c>
      <c r="AH175">
        <v>174</v>
      </c>
      <c r="AI175" s="5">
        <v>50.862558165929002</v>
      </c>
      <c r="AJ175" s="5">
        <v>49.137441834070998</v>
      </c>
      <c r="AK175" s="5">
        <v>2.7011689933038201</v>
      </c>
      <c r="AL175" s="5">
        <v>13.080240608330501</v>
      </c>
      <c r="AM175" s="5">
        <v>16.014073317444101</v>
      </c>
      <c r="AN175" s="5">
        <v>15.0777437294291</v>
      </c>
      <c r="AO175" s="5">
        <v>17.909431392577499</v>
      </c>
      <c r="AP175" s="5">
        <v>17.5859720803541</v>
      </c>
      <c r="AQ175" s="5">
        <v>11.338100102145001</v>
      </c>
      <c r="AR175" s="5">
        <v>5.30586766541823</v>
      </c>
      <c r="AS175" s="5">
        <v>0.98740211099761699</v>
      </c>
    </row>
    <row r="176" spans="1:45" x14ac:dyDescent="0.25">
      <c r="A176" t="s">
        <v>423</v>
      </c>
      <c r="B176" t="s">
        <v>424</v>
      </c>
      <c r="C176" t="s">
        <v>207</v>
      </c>
      <c r="D176">
        <v>17.829999999999998</v>
      </c>
      <c r="E176" s="2">
        <f t="shared" si="22"/>
        <v>3824.3566999999998</v>
      </c>
      <c r="F176">
        <v>32.81</v>
      </c>
      <c r="G176" s="2">
        <f t="shared" si="23"/>
        <v>7037.4169000000002</v>
      </c>
      <c r="H176">
        <v>22.07</v>
      </c>
      <c r="I176" s="2">
        <f t="shared" si="24"/>
        <v>4733.7942999999996</v>
      </c>
      <c r="J176">
        <v>15.04</v>
      </c>
      <c r="K176" s="2">
        <f t="shared" si="25"/>
        <v>3225.9295999999995</v>
      </c>
      <c r="L176">
        <v>9.9600000000000009</v>
      </c>
      <c r="M176" s="2">
        <f t="shared" si="26"/>
        <v>2136.3204000000001</v>
      </c>
      <c r="N176">
        <v>0.64</v>
      </c>
      <c r="O176" s="2">
        <f t="shared" si="27"/>
        <v>137.27360000000002</v>
      </c>
      <c r="P176">
        <v>1.18</v>
      </c>
      <c r="Q176" s="2">
        <f t="shared" si="28"/>
        <v>253.09819999999999</v>
      </c>
      <c r="R176">
        <v>0.48</v>
      </c>
      <c r="S176" s="3">
        <f t="shared" si="29"/>
        <v>102.9552</v>
      </c>
      <c r="T176" t="s">
        <v>208</v>
      </c>
      <c r="U176" s="4">
        <f t="shared" si="30"/>
        <v>21451.144899999999</v>
      </c>
      <c r="V176" s="4">
        <f t="shared" si="31"/>
        <v>2.1448999999993248</v>
      </c>
      <c r="W176">
        <v>21449</v>
      </c>
      <c r="X176">
        <v>10994</v>
      </c>
      <c r="Y176">
        <v>10455</v>
      </c>
      <c r="Z176">
        <v>629</v>
      </c>
      <c r="AA176">
        <v>3151</v>
      </c>
      <c r="AB176">
        <v>3651</v>
      </c>
      <c r="AC176">
        <v>3247</v>
      </c>
      <c r="AD176">
        <v>4001</v>
      </c>
      <c r="AE176">
        <v>3491</v>
      </c>
      <c r="AF176">
        <v>2149</v>
      </c>
      <c r="AG176">
        <v>940</v>
      </c>
      <c r="AH176">
        <v>190</v>
      </c>
      <c r="AI176" s="5">
        <v>51.256468833045801</v>
      </c>
      <c r="AJ176" s="5">
        <v>48.743531166954199</v>
      </c>
      <c r="AK176" s="5">
        <v>2.93253764744277</v>
      </c>
      <c r="AL176" s="5">
        <v>14.6906615693039</v>
      </c>
      <c r="AM176" s="5">
        <v>17.0217725768101</v>
      </c>
      <c r="AN176" s="5">
        <v>15.138234882745101</v>
      </c>
      <c r="AO176" s="5">
        <v>18.653550282064401</v>
      </c>
      <c r="AP176" s="5">
        <v>16.275817054408101</v>
      </c>
      <c r="AQ176" s="5">
        <v>10.0191151102616</v>
      </c>
      <c r="AR176" s="5">
        <v>4.3824886941116104</v>
      </c>
      <c r="AS176" s="5">
        <v>0.88582218285234704</v>
      </c>
    </row>
    <row r="177" spans="1:45" x14ac:dyDescent="0.25">
      <c r="A177" t="s">
        <v>425</v>
      </c>
      <c r="B177" t="s">
        <v>426</v>
      </c>
      <c r="C177" t="s">
        <v>147</v>
      </c>
      <c r="D177">
        <v>21.51</v>
      </c>
      <c r="E177" s="2">
        <f t="shared" si="22"/>
        <v>18412.560000000001</v>
      </c>
      <c r="F177">
        <v>29.84</v>
      </c>
      <c r="G177" s="2">
        <f t="shared" si="23"/>
        <v>25543.040000000001</v>
      </c>
      <c r="H177">
        <v>21.97</v>
      </c>
      <c r="I177" s="2">
        <f t="shared" si="24"/>
        <v>18806.32</v>
      </c>
      <c r="J177">
        <v>14.87</v>
      </c>
      <c r="K177" s="2">
        <f t="shared" si="25"/>
        <v>12728.72</v>
      </c>
      <c r="L177">
        <v>9.49</v>
      </c>
      <c r="M177" s="2">
        <f t="shared" si="26"/>
        <v>8123.44</v>
      </c>
      <c r="N177">
        <v>0.83</v>
      </c>
      <c r="O177" s="2">
        <f t="shared" si="27"/>
        <v>710.48</v>
      </c>
      <c r="P177">
        <v>1.05</v>
      </c>
      <c r="Q177" s="2">
        <f t="shared" si="28"/>
        <v>898.8</v>
      </c>
      <c r="R177">
        <v>0.42</v>
      </c>
      <c r="S177" s="3">
        <f t="shared" si="29"/>
        <v>359.52</v>
      </c>
      <c r="T177" t="s">
        <v>148</v>
      </c>
      <c r="U177" s="4">
        <f t="shared" si="30"/>
        <v>85582.88</v>
      </c>
      <c r="V177" s="4">
        <f t="shared" si="31"/>
        <v>-17.119999999995343</v>
      </c>
      <c r="W177">
        <v>85600</v>
      </c>
      <c r="X177">
        <v>44537</v>
      </c>
      <c r="Y177">
        <v>41063</v>
      </c>
      <c r="Z177">
        <v>2598</v>
      </c>
      <c r="AA177">
        <v>13442</v>
      </c>
      <c r="AB177">
        <v>16115</v>
      </c>
      <c r="AC177">
        <v>14081</v>
      </c>
      <c r="AD177">
        <v>14315</v>
      </c>
      <c r="AE177">
        <v>13154</v>
      </c>
      <c r="AF177">
        <v>7873</v>
      </c>
      <c r="AG177">
        <v>3354</v>
      </c>
      <c r="AH177">
        <v>668</v>
      </c>
      <c r="AI177" s="5">
        <v>52.029205607476598</v>
      </c>
      <c r="AJ177" s="5">
        <v>47.970794392523402</v>
      </c>
      <c r="AK177" s="5">
        <v>3.03504672897196</v>
      </c>
      <c r="AL177" s="5">
        <v>15.703271028037401</v>
      </c>
      <c r="AM177" s="5">
        <v>18.825934579439298</v>
      </c>
      <c r="AN177" s="5">
        <v>16.449766355140198</v>
      </c>
      <c r="AO177" s="5">
        <v>16.723130841121499</v>
      </c>
      <c r="AP177" s="5">
        <v>15.366822429906501</v>
      </c>
      <c r="AQ177" s="5">
        <v>9.1974299065420606</v>
      </c>
      <c r="AR177" s="5">
        <v>3.9182242990654199</v>
      </c>
      <c r="AS177" s="5">
        <v>0.78037383177570097</v>
      </c>
    </row>
    <row r="178" spans="1:45" x14ac:dyDescent="0.25">
      <c r="A178" t="s">
        <v>427</v>
      </c>
      <c r="B178" t="s">
        <v>428</v>
      </c>
      <c r="C178" t="s">
        <v>141</v>
      </c>
      <c r="D178">
        <v>16.73</v>
      </c>
      <c r="E178" s="2">
        <f t="shared" si="22"/>
        <v>4453.3586999999998</v>
      </c>
      <c r="F178">
        <v>34.92</v>
      </c>
      <c r="G178" s="2">
        <f t="shared" si="23"/>
        <v>9295.354800000001</v>
      </c>
      <c r="H178">
        <v>21.93</v>
      </c>
      <c r="I178" s="2">
        <f t="shared" si="24"/>
        <v>5837.5467000000008</v>
      </c>
      <c r="J178">
        <v>15.06</v>
      </c>
      <c r="K178" s="2">
        <f t="shared" si="25"/>
        <v>4008.8214000000003</v>
      </c>
      <c r="L178">
        <v>8.85</v>
      </c>
      <c r="M178" s="2">
        <f t="shared" si="26"/>
        <v>2355.7815000000001</v>
      </c>
      <c r="N178">
        <v>0.78</v>
      </c>
      <c r="O178" s="2">
        <f t="shared" si="27"/>
        <v>207.62819999999999</v>
      </c>
      <c r="P178">
        <v>1.1200000000000001</v>
      </c>
      <c r="Q178" s="2">
        <f t="shared" si="28"/>
        <v>298.13280000000003</v>
      </c>
      <c r="R178">
        <v>0.61</v>
      </c>
      <c r="S178" s="3">
        <f t="shared" si="29"/>
        <v>162.3759</v>
      </c>
      <c r="T178" t="s">
        <v>142</v>
      </c>
      <c r="U178" s="4">
        <f t="shared" si="30"/>
        <v>26619.000000000004</v>
      </c>
      <c r="V178" s="4">
        <f t="shared" si="31"/>
        <v>0</v>
      </c>
      <c r="W178">
        <v>26619</v>
      </c>
      <c r="X178">
        <v>13604</v>
      </c>
      <c r="Y178">
        <v>13015</v>
      </c>
      <c r="Z178">
        <v>904</v>
      </c>
      <c r="AA178">
        <v>4300</v>
      </c>
      <c r="AB178">
        <v>4604</v>
      </c>
      <c r="AC178">
        <v>4251</v>
      </c>
      <c r="AD178">
        <v>4806</v>
      </c>
      <c r="AE178">
        <v>3869</v>
      </c>
      <c r="AF178">
        <v>2432</v>
      </c>
      <c r="AG178">
        <v>1250</v>
      </c>
      <c r="AH178">
        <v>203</v>
      </c>
      <c r="AI178" s="5">
        <v>51.106352605281899</v>
      </c>
      <c r="AJ178" s="5">
        <v>48.893647394718101</v>
      </c>
      <c r="AK178" s="5">
        <v>3.3960704759758098</v>
      </c>
      <c r="AL178" s="5">
        <v>16.153875051654801</v>
      </c>
      <c r="AM178" s="5">
        <v>17.295916450655501</v>
      </c>
      <c r="AN178" s="5">
        <v>15.969796010368499</v>
      </c>
      <c r="AO178" s="5">
        <v>18.054772906570498</v>
      </c>
      <c r="AP178" s="5">
        <v>14.534730831361101</v>
      </c>
      <c r="AQ178" s="5">
        <v>9.1363311920057093</v>
      </c>
      <c r="AR178" s="5">
        <v>4.6958939103647799</v>
      </c>
      <c r="AS178" s="5">
        <v>0.76261317104324</v>
      </c>
    </row>
    <row r="179" spans="1:45" x14ac:dyDescent="0.25">
      <c r="A179" t="s">
        <v>429</v>
      </c>
      <c r="B179" t="s">
        <v>430</v>
      </c>
      <c r="C179" t="s">
        <v>75</v>
      </c>
      <c r="D179">
        <v>28.72</v>
      </c>
      <c r="E179" s="2">
        <f t="shared" si="22"/>
        <v>57992.572799999994</v>
      </c>
      <c r="F179">
        <v>18.95</v>
      </c>
      <c r="G179" s="2">
        <f t="shared" si="23"/>
        <v>38264.597999999998</v>
      </c>
      <c r="H179">
        <v>21.9</v>
      </c>
      <c r="I179" s="2">
        <f t="shared" si="24"/>
        <v>44221.356</v>
      </c>
      <c r="J179">
        <v>14.68</v>
      </c>
      <c r="K179" s="2">
        <f t="shared" si="25"/>
        <v>29642.443199999998</v>
      </c>
      <c r="L179">
        <v>12.59</v>
      </c>
      <c r="M179" s="2">
        <f t="shared" si="26"/>
        <v>25422.231600000003</v>
      </c>
      <c r="N179">
        <v>1.4</v>
      </c>
      <c r="O179" s="2">
        <f t="shared" si="27"/>
        <v>2826.9359999999997</v>
      </c>
      <c r="P179">
        <v>1.0900000000000001</v>
      </c>
      <c r="Q179" s="2">
        <f t="shared" si="28"/>
        <v>2200.9715999999999</v>
      </c>
      <c r="R179">
        <v>0.67</v>
      </c>
      <c r="S179" s="3">
        <f t="shared" si="29"/>
        <v>1352.8908000000001</v>
      </c>
      <c r="T179" t="s">
        <v>76</v>
      </c>
      <c r="U179" s="4">
        <f t="shared" si="30"/>
        <v>201924</v>
      </c>
      <c r="V179" s="4">
        <f t="shared" si="31"/>
        <v>0</v>
      </c>
      <c r="W179">
        <v>201924</v>
      </c>
      <c r="X179">
        <v>105127</v>
      </c>
      <c r="Y179">
        <v>96797</v>
      </c>
      <c r="Z179">
        <v>6665</v>
      </c>
      <c r="AA179">
        <v>34937</v>
      </c>
      <c r="AB179">
        <v>40616</v>
      </c>
      <c r="AC179">
        <v>34484</v>
      </c>
      <c r="AD179">
        <v>32361</v>
      </c>
      <c r="AE179">
        <v>27384</v>
      </c>
      <c r="AF179">
        <v>16613</v>
      </c>
      <c r="AG179">
        <v>7298</v>
      </c>
      <c r="AH179">
        <v>1566</v>
      </c>
      <c r="AI179" s="5">
        <v>52.062657237376399</v>
      </c>
      <c r="AJ179" s="5">
        <v>47.937342762623601</v>
      </c>
      <c r="AK179" s="5">
        <v>3.3007468156336</v>
      </c>
      <c r="AL179" s="5">
        <v>17.302054238228202</v>
      </c>
      <c r="AM179" s="5">
        <v>20.114498524197199</v>
      </c>
      <c r="AN179" s="5">
        <v>17.077712406648001</v>
      </c>
      <c r="AO179" s="5">
        <v>16.0263267367921</v>
      </c>
      <c r="AP179" s="5">
        <v>13.561538004397701</v>
      </c>
      <c r="AQ179" s="5">
        <v>8.2273528654345203</v>
      </c>
      <c r="AR179" s="5">
        <v>3.6142310968483198</v>
      </c>
      <c r="AS179" s="5">
        <v>0.77553931182028901</v>
      </c>
    </row>
    <row r="180" spans="1:45" x14ac:dyDescent="0.25">
      <c r="A180" t="s">
        <v>431</v>
      </c>
      <c r="B180" t="s">
        <v>432</v>
      </c>
      <c r="C180" t="s">
        <v>217</v>
      </c>
      <c r="D180">
        <v>21.26</v>
      </c>
      <c r="E180" s="2">
        <f t="shared" si="22"/>
        <v>2380.4822000000004</v>
      </c>
      <c r="F180">
        <v>30.44</v>
      </c>
      <c r="G180" s="2">
        <f t="shared" si="23"/>
        <v>3408.3667999999998</v>
      </c>
      <c r="H180">
        <v>21.87</v>
      </c>
      <c r="I180" s="2">
        <f t="shared" si="24"/>
        <v>2448.7839000000004</v>
      </c>
      <c r="J180">
        <v>14.78</v>
      </c>
      <c r="K180" s="2">
        <f t="shared" si="25"/>
        <v>1654.9166</v>
      </c>
      <c r="L180">
        <v>9.11</v>
      </c>
      <c r="M180" s="2">
        <f t="shared" si="26"/>
        <v>1020.0467</v>
      </c>
      <c r="N180">
        <v>0.96</v>
      </c>
      <c r="O180" s="2">
        <f t="shared" si="27"/>
        <v>107.49119999999999</v>
      </c>
      <c r="P180">
        <v>1.2</v>
      </c>
      <c r="Q180" s="2">
        <f t="shared" si="28"/>
        <v>134.364</v>
      </c>
      <c r="R180">
        <v>0.39</v>
      </c>
      <c r="S180" s="3">
        <f t="shared" si="29"/>
        <v>43.668300000000002</v>
      </c>
      <c r="T180" t="s">
        <v>218</v>
      </c>
      <c r="U180" s="4">
        <f t="shared" si="30"/>
        <v>11198.119700000001</v>
      </c>
      <c r="V180" s="4">
        <f t="shared" si="31"/>
        <v>1.119700000001103</v>
      </c>
      <c r="W180">
        <v>11197</v>
      </c>
      <c r="X180">
        <v>5590</v>
      </c>
      <c r="Y180">
        <v>5607</v>
      </c>
      <c r="Z180">
        <v>311</v>
      </c>
      <c r="AA180">
        <v>1512</v>
      </c>
      <c r="AB180">
        <v>1991</v>
      </c>
      <c r="AC180">
        <v>1868</v>
      </c>
      <c r="AD180">
        <v>2045</v>
      </c>
      <c r="AE180">
        <v>1847</v>
      </c>
      <c r="AF180">
        <v>1085</v>
      </c>
      <c r="AG180">
        <v>449</v>
      </c>
      <c r="AH180">
        <v>89</v>
      </c>
      <c r="AI180" s="5">
        <v>49.924086808966699</v>
      </c>
      <c r="AJ180" s="5">
        <v>50.075913191033301</v>
      </c>
      <c r="AK180" s="5">
        <v>2.77752969545414</v>
      </c>
      <c r="AL180" s="5">
        <v>13.5036170402786</v>
      </c>
      <c r="AM180" s="5">
        <v>17.781548629097099</v>
      </c>
      <c r="AN180" s="5">
        <v>16.683040100026801</v>
      </c>
      <c r="AO180" s="5">
        <v>18.263820666249899</v>
      </c>
      <c r="AP180" s="5">
        <v>16.495489863356301</v>
      </c>
      <c r="AQ180" s="5">
        <v>9.69009556131107</v>
      </c>
      <c r="AR180" s="5">
        <v>4.0100026792890997</v>
      </c>
      <c r="AS180" s="5">
        <v>0.79485576493703702</v>
      </c>
    </row>
    <row r="181" spans="1:45" x14ac:dyDescent="0.25">
      <c r="A181" t="s">
        <v>433</v>
      </c>
      <c r="B181" t="s">
        <v>434</v>
      </c>
      <c r="C181" t="s">
        <v>93</v>
      </c>
      <c r="D181">
        <v>22.18</v>
      </c>
      <c r="E181" s="2">
        <f t="shared" si="22"/>
        <v>2250.8263999999999</v>
      </c>
      <c r="F181">
        <v>27.7</v>
      </c>
      <c r="G181" s="2">
        <f t="shared" si="23"/>
        <v>2810.9959999999996</v>
      </c>
      <c r="H181">
        <v>21.84</v>
      </c>
      <c r="I181" s="2">
        <f t="shared" si="24"/>
        <v>2216.3232000000003</v>
      </c>
      <c r="J181">
        <v>16.989999999999998</v>
      </c>
      <c r="K181" s="2">
        <f t="shared" si="25"/>
        <v>1724.1451999999999</v>
      </c>
      <c r="L181">
        <v>8.77</v>
      </c>
      <c r="M181" s="2">
        <f t="shared" si="26"/>
        <v>889.97959999999989</v>
      </c>
      <c r="N181">
        <v>0.73</v>
      </c>
      <c r="O181" s="2">
        <f t="shared" si="27"/>
        <v>74.080399999999997</v>
      </c>
      <c r="P181">
        <v>1.25</v>
      </c>
      <c r="Q181" s="2">
        <f t="shared" si="28"/>
        <v>126.85</v>
      </c>
      <c r="R181">
        <v>0.54</v>
      </c>
      <c r="S181" s="3">
        <f t="shared" si="29"/>
        <v>54.799199999999999</v>
      </c>
      <c r="T181" t="s">
        <v>94</v>
      </c>
      <c r="U181" s="4">
        <f t="shared" si="30"/>
        <v>10148</v>
      </c>
      <c r="V181" s="4">
        <f t="shared" si="31"/>
        <v>0</v>
      </c>
      <c r="W181">
        <v>10148</v>
      </c>
      <c r="X181">
        <v>5183</v>
      </c>
      <c r="Y181">
        <v>4965</v>
      </c>
      <c r="Z181">
        <v>249</v>
      </c>
      <c r="AA181">
        <v>1334</v>
      </c>
      <c r="AB181">
        <v>1626</v>
      </c>
      <c r="AC181">
        <v>1570</v>
      </c>
      <c r="AD181">
        <v>1947</v>
      </c>
      <c r="AE181">
        <v>1708</v>
      </c>
      <c r="AF181">
        <v>1082</v>
      </c>
      <c r="AG181">
        <v>525</v>
      </c>
      <c r="AH181">
        <v>107</v>
      </c>
      <c r="AI181" s="5">
        <v>51.074103271580597</v>
      </c>
      <c r="AJ181" s="5">
        <v>48.925896728419403</v>
      </c>
      <c r="AK181" s="5">
        <v>2.4536854552621201</v>
      </c>
      <c r="AL181" s="5">
        <v>13.1454473787939</v>
      </c>
      <c r="AM181" s="5">
        <v>16.022861647615301</v>
      </c>
      <c r="AN181" s="5">
        <v>15.471028774142701</v>
      </c>
      <c r="AO181" s="5">
        <v>19.1860465116279</v>
      </c>
      <c r="AP181" s="5">
        <v>16.830902640914498</v>
      </c>
      <c r="AQ181" s="5">
        <v>10.662199448167099</v>
      </c>
      <c r="AR181" s="5">
        <v>5.1734331888056797</v>
      </c>
      <c r="AS181" s="5">
        <v>1.05439495467087</v>
      </c>
    </row>
    <row r="182" spans="1:45" x14ac:dyDescent="0.25">
      <c r="A182" t="s">
        <v>435</v>
      </c>
      <c r="B182" t="s">
        <v>436</v>
      </c>
      <c r="C182" t="s">
        <v>93</v>
      </c>
      <c r="D182">
        <v>19.93</v>
      </c>
      <c r="E182" s="2">
        <f t="shared" si="22"/>
        <v>3914.6505999999999</v>
      </c>
      <c r="F182">
        <v>30.21</v>
      </c>
      <c r="G182" s="2">
        <f t="shared" si="23"/>
        <v>5933.8482000000004</v>
      </c>
      <c r="H182">
        <v>21.78</v>
      </c>
      <c r="I182" s="2">
        <f t="shared" si="24"/>
        <v>4278.0276000000003</v>
      </c>
      <c r="J182">
        <v>17.96</v>
      </c>
      <c r="K182" s="2">
        <f t="shared" si="25"/>
        <v>3527.7031999999999</v>
      </c>
      <c r="L182">
        <v>7.42</v>
      </c>
      <c r="M182" s="2">
        <f t="shared" si="26"/>
        <v>1457.4363999999998</v>
      </c>
      <c r="N182">
        <v>0.98</v>
      </c>
      <c r="O182" s="2">
        <f t="shared" si="27"/>
        <v>192.49160000000001</v>
      </c>
      <c r="P182">
        <v>1.1100000000000001</v>
      </c>
      <c r="Q182" s="2">
        <f t="shared" si="28"/>
        <v>218.02620000000002</v>
      </c>
      <c r="R182">
        <v>0.62</v>
      </c>
      <c r="S182" s="3">
        <f t="shared" si="29"/>
        <v>121.78039999999999</v>
      </c>
      <c r="T182" t="s">
        <v>94</v>
      </c>
      <c r="U182" s="4">
        <f t="shared" si="30"/>
        <v>19643.964200000002</v>
      </c>
      <c r="V182" s="4">
        <f t="shared" si="31"/>
        <v>1.9642000000021653</v>
      </c>
      <c r="W182">
        <v>19642</v>
      </c>
      <c r="X182">
        <v>9923</v>
      </c>
      <c r="Y182">
        <v>9719</v>
      </c>
      <c r="Z182">
        <v>587</v>
      </c>
      <c r="AA182">
        <v>2862</v>
      </c>
      <c r="AB182">
        <v>3395</v>
      </c>
      <c r="AC182">
        <v>2854</v>
      </c>
      <c r="AD182">
        <v>3560</v>
      </c>
      <c r="AE182">
        <v>3261</v>
      </c>
      <c r="AF182">
        <v>1960</v>
      </c>
      <c r="AG182">
        <v>981</v>
      </c>
      <c r="AH182">
        <v>182</v>
      </c>
      <c r="AI182" s="5">
        <v>50.519295387435101</v>
      </c>
      <c r="AJ182" s="5">
        <v>49.480704612564899</v>
      </c>
      <c r="AK182" s="5">
        <v>2.98849404337644</v>
      </c>
      <c r="AL182" s="5">
        <v>14.570817635678599</v>
      </c>
      <c r="AM182" s="5">
        <v>17.284390591589499</v>
      </c>
      <c r="AN182" s="5">
        <v>14.5300885856837</v>
      </c>
      <c r="AO182" s="5">
        <v>18.124427247734399</v>
      </c>
      <c r="AP182" s="5">
        <v>16.602179004174701</v>
      </c>
      <c r="AQ182" s="5">
        <v>9.9786172487526699</v>
      </c>
      <c r="AR182" s="5">
        <v>4.9943997556257003</v>
      </c>
      <c r="AS182" s="5">
        <v>0.92658588738417702</v>
      </c>
    </row>
    <row r="183" spans="1:45" x14ac:dyDescent="0.25">
      <c r="A183" t="s">
        <v>437</v>
      </c>
      <c r="B183" t="s">
        <v>438</v>
      </c>
      <c r="C183" t="s">
        <v>93</v>
      </c>
      <c r="D183">
        <v>20.54</v>
      </c>
      <c r="E183" s="2">
        <f t="shared" si="22"/>
        <v>4142.5072</v>
      </c>
      <c r="F183">
        <v>28.05</v>
      </c>
      <c r="G183" s="2">
        <f t="shared" si="23"/>
        <v>5657.1239999999998</v>
      </c>
      <c r="H183">
        <v>21.76</v>
      </c>
      <c r="I183" s="2">
        <f t="shared" si="24"/>
        <v>4388.5568000000003</v>
      </c>
      <c r="J183">
        <v>17.89</v>
      </c>
      <c r="K183" s="2">
        <f t="shared" si="25"/>
        <v>3608.0552000000002</v>
      </c>
      <c r="L183">
        <v>9.7799999999999994</v>
      </c>
      <c r="M183" s="2">
        <f t="shared" si="26"/>
        <v>1972.4303999999997</v>
      </c>
      <c r="N183">
        <v>0.75</v>
      </c>
      <c r="O183" s="2">
        <f t="shared" si="27"/>
        <v>151.26</v>
      </c>
      <c r="P183">
        <v>0.87</v>
      </c>
      <c r="Q183" s="2">
        <f t="shared" si="28"/>
        <v>175.4616</v>
      </c>
      <c r="R183">
        <v>0.34</v>
      </c>
      <c r="S183" s="3">
        <f t="shared" si="29"/>
        <v>68.571200000000005</v>
      </c>
      <c r="T183" t="s">
        <v>94</v>
      </c>
      <c r="U183" s="4">
        <f t="shared" si="30"/>
        <v>20163.966400000001</v>
      </c>
      <c r="V183" s="4">
        <f t="shared" si="31"/>
        <v>-4.0335999999988417</v>
      </c>
      <c r="W183">
        <v>20168</v>
      </c>
      <c r="X183">
        <v>10314</v>
      </c>
      <c r="Y183">
        <v>9854</v>
      </c>
      <c r="Z183">
        <v>604</v>
      </c>
      <c r="AA183">
        <v>2939</v>
      </c>
      <c r="AB183">
        <v>4144</v>
      </c>
      <c r="AC183">
        <v>3629</v>
      </c>
      <c r="AD183">
        <v>3325</v>
      </c>
      <c r="AE183">
        <v>3065</v>
      </c>
      <c r="AF183">
        <v>1674</v>
      </c>
      <c r="AG183">
        <v>676</v>
      </c>
      <c r="AH183">
        <v>112</v>
      </c>
      <c r="AI183" s="5">
        <v>51.1404204680682</v>
      </c>
      <c r="AJ183" s="5">
        <v>48.8595795319318</v>
      </c>
      <c r="AK183" s="5">
        <v>2.9948433161443901</v>
      </c>
      <c r="AL183" s="5">
        <v>14.5725902419675</v>
      </c>
      <c r="AM183" s="5">
        <v>20.547401824672701</v>
      </c>
      <c r="AN183" s="5">
        <v>17.9938516461722</v>
      </c>
      <c r="AO183" s="5">
        <v>16.486513288377601</v>
      </c>
      <c r="AP183" s="5">
        <v>15.1973423244744</v>
      </c>
      <c r="AQ183" s="5">
        <v>8.3002776675922192</v>
      </c>
      <c r="AR183" s="5">
        <v>3.3518445061483502</v>
      </c>
      <c r="AS183" s="5">
        <v>0.55533518445061503</v>
      </c>
    </row>
    <row r="184" spans="1:45" x14ac:dyDescent="0.25">
      <c r="A184" t="s">
        <v>439</v>
      </c>
      <c r="B184" t="s">
        <v>440</v>
      </c>
      <c r="C184" t="s">
        <v>141</v>
      </c>
      <c r="D184">
        <v>18.5</v>
      </c>
      <c r="E184" s="2">
        <f t="shared" si="22"/>
        <v>4380.8</v>
      </c>
      <c r="F184">
        <v>33.33</v>
      </c>
      <c r="G184" s="2">
        <f t="shared" si="23"/>
        <v>7892.543999999999</v>
      </c>
      <c r="H184">
        <v>21.72</v>
      </c>
      <c r="I184" s="2">
        <f t="shared" si="24"/>
        <v>5143.2959999999994</v>
      </c>
      <c r="J184">
        <v>14.32</v>
      </c>
      <c r="K184" s="2">
        <f t="shared" si="25"/>
        <v>3390.9760000000006</v>
      </c>
      <c r="L184">
        <v>9.0299999999999994</v>
      </c>
      <c r="M184" s="2">
        <f t="shared" si="26"/>
        <v>2138.3040000000001</v>
      </c>
      <c r="N184">
        <v>0.92</v>
      </c>
      <c r="O184" s="2">
        <f t="shared" si="27"/>
        <v>217.85600000000002</v>
      </c>
      <c r="P184">
        <v>1.56</v>
      </c>
      <c r="Q184" s="2">
        <f t="shared" si="28"/>
        <v>369.40800000000002</v>
      </c>
      <c r="R184">
        <v>0.63</v>
      </c>
      <c r="S184" s="3">
        <f t="shared" si="29"/>
        <v>149.184</v>
      </c>
      <c r="T184" t="s">
        <v>142</v>
      </c>
      <c r="U184" s="4">
        <f t="shared" si="30"/>
        <v>23682.367999999999</v>
      </c>
      <c r="V184" s="4">
        <f t="shared" si="31"/>
        <v>2.3679999999985739</v>
      </c>
      <c r="W184">
        <v>23680</v>
      </c>
      <c r="X184">
        <v>11853</v>
      </c>
      <c r="Y184">
        <v>11827</v>
      </c>
      <c r="Z184">
        <v>675</v>
      </c>
      <c r="AA184">
        <v>3549</v>
      </c>
      <c r="AB184">
        <v>3854</v>
      </c>
      <c r="AC184">
        <v>3508</v>
      </c>
      <c r="AD184">
        <v>4450</v>
      </c>
      <c r="AE184">
        <v>3778</v>
      </c>
      <c r="AF184">
        <v>2453</v>
      </c>
      <c r="AG184">
        <v>1197</v>
      </c>
      <c r="AH184">
        <v>216</v>
      </c>
      <c r="AI184" s="5">
        <v>50.054898648648603</v>
      </c>
      <c r="AJ184" s="5">
        <v>49.945101351351397</v>
      </c>
      <c r="AK184" s="5">
        <v>2.8505067567567601</v>
      </c>
      <c r="AL184" s="5">
        <v>14.9873310810811</v>
      </c>
      <c r="AM184" s="5">
        <v>16.2753378378378</v>
      </c>
      <c r="AN184" s="5">
        <v>14.8141891891892</v>
      </c>
      <c r="AO184" s="5">
        <v>18.792229729729701</v>
      </c>
      <c r="AP184" s="5">
        <v>15.9543918918919</v>
      </c>
      <c r="AQ184" s="5">
        <v>10.3589527027027</v>
      </c>
      <c r="AR184" s="5">
        <v>5.05489864864865</v>
      </c>
      <c r="AS184" s="5">
        <v>0.91216216216216195</v>
      </c>
    </row>
    <row r="185" spans="1:45" x14ac:dyDescent="0.25">
      <c r="A185" t="s">
        <v>441</v>
      </c>
      <c r="B185" t="s">
        <v>442</v>
      </c>
      <c r="C185" t="s">
        <v>199</v>
      </c>
      <c r="D185">
        <v>19.739999999999998</v>
      </c>
      <c r="E185" s="2">
        <f t="shared" si="22"/>
        <v>7450.0733999999993</v>
      </c>
      <c r="F185">
        <v>31.16</v>
      </c>
      <c r="G185" s="2">
        <f t="shared" si="23"/>
        <v>11760.095600000001</v>
      </c>
      <c r="H185">
        <v>21.67</v>
      </c>
      <c r="I185" s="2">
        <f t="shared" si="24"/>
        <v>8178.4747000000007</v>
      </c>
      <c r="J185">
        <v>16.5</v>
      </c>
      <c r="K185" s="2">
        <f t="shared" si="25"/>
        <v>6227.2650000000003</v>
      </c>
      <c r="L185">
        <v>8.1</v>
      </c>
      <c r="M185" s="2">
        <f t="shared" si="26"/>
        <v>3057.0209999999997</v>
      </c>
      <c r="N185">
        <v>0.95</v>
      </c>
      <c r="O185" s="2">
        <f t="shared" si="27"/>
        <v>358.53949999999998</v>
      </c>
      <c r="P185">
        <v>1.23</v>
      </c>
      <c r="Q185" s="2">
        <f t="shared" si="28"/>
        <v>464.21429999999998</v>
      </c>
      <c r="R185">
        <v>0.66</v>
      </c>
      <c r="S185" s="3">
        <f t="shared" si="29"/>
        <v>249.09060000000002</v>
      </c>
      <c r="T185" t="s">
        <v>200</v>
      </c>
      <c r="U185" s="4">
        <f t="shared" si="30"/>
        <v>37744.774100000002</v>
      </c>
      <c r="V185" s="4">
        <f t="shared" si="31"/>
        <v>3.7741000000023632</v>
      </c>
      <c r="W185">
        <v>37741</v>
      </c>
      <c r="X185">
        <v>19034</v>
      </c>
      <c r="Y185">
        <v>18707</v>
      </c>
      <c r="Z185">
        <v>1081</v>
      </c>
      <c r="AA185">
        <v>5244</v>
      </c>
      <c r="AB185">
        <v>6466</v>
      </c>
      <c r="AC185">
        <v>5893</v>
      </c>
      <c r="AD185">
        <v>7104</v>
      </c>
      <c r="AE185">
        <v>5933</v>
      </c>
      <c r="AF185">
        <v>3779</v>
      </c>
      <c r="AG185">
        <v>1933</v>
      </c>
      <c r="AH185">
        <v>308</v>
      </c>
      <c r="AI185" s="5">
        <v>50.433215866034303</v>
      </c>
      <c r="AJ185" s="5">
        <v>49.566784133965697</v>
      </c>
      <c r="AK185" s="5">
        <v>2.8642590286425902</v>
      </c>
      <c r="AL185" s="5">
        <v>13.8947033729896</v>
      </c>
      <c r="AM185" s="5">
        <v>17.1325614053682</v>
      </c>
      <c r="AN185" s="5">
        <v>15.6143186455049</v>
      </c>
      <c r="AO185" s="5">
        <v>18.8230306563154</v>
      </c>
      <c r="AP185" s="5">
        <v>15.7203041784796</v>
      </c>
      <c r="AQ185" s="5">
        <v>10.0129832277894</v>
      </c>
      <c r="AR185" s="5">
        <v>5.1217508810047399</v>
      </c>
      <c r="AS185" s="5">
        <v>0.81608860390556703</v>
      </c>
    </row>
    <row r="186" spans="1:45" x14ac:dyDescent="0.25">
      <c r="A186" t="s">
        <v>443</v>
      </c>
      <c r="B186" t="s">
        <v>444</v>
      </c>
      <c r="C186" t="s">
        <v>199</v>
      </c>
      <c r="D186">
        <v>18.71</v>
      </c>
      <c r="E186" s="2">
        <f t="shared" si="22"/>
        <v>5794.8612000000003</v>
      </c>
      <c r="F186">
        <v>29.64</v>
      </c>
      <c r="G186" s="2">
        <f t="shared" si="23"/>
        <v>9180.1008000000002</v>
      </c>
      <c r="H186">
        <v>21.64</v>
      </c>
      <c r="I186" s="2">
        <f t="shared" si="24"/>
        <v>6702.3408000000009</v>
      </c>
      <c r="J186">
        <v>17.79</v>
      </c>
      <c r="K186" s="2">
        <f t="shared" si="25"/>
        <v>5509.9188000000004</v>
      </c>
      <c r="L186">
        <v>9.7100000000000009</v>
      </c>
      <c r="M186" s="2">
        <f t="shared" si="26"/>
        <v>3007.3812000000007</v>
      </c>
      <c r="N186">
        <v>0.9</v>
      </c>
      <c r="O186" s="2">
        <f t="shared" si="27"/>
        <v>278.74799999999999</v>
      </c>
      <c r="P186">
        <v>1.03</v>
      </c>
      <c r="Q186" s="2">
        <f t="shared" si="28"/>
        <v>319.01159999999999</v>
      </c>
      <c r="R186">
        <v>0.59</v>
      </c>
      <c r="S186" s="3">
        <f t="shared" si="29"/>
        <v>182.73480000000001</v>
      </c>
      <c r="T186" t="s">
        <v>200</v>
      </c>
      <c r="U186" s="4">
        <f t="shared" si="30"/>
        <v>30975.0972</v>
      </c>
      <c r="V186" s="4">
        <f t="shared" si="31"/>
        <v>3.0972000000001572</v>
      </c>
      <c r="W186">
        <v>30972</v>
      </c>
      <c r="X186">
        <v>15719</v>
      </c>
      <c r="Y186">
        <v>15253</v>
      </c>
      <c r="Z186">
        <v>889</v>
      </c>
      <c r="AA186">
        <v>4545</v>
      </c>
      <c r="AB186">
        <v>5254</v>
      </c>
      <c r="AC186">
        <v>4616</v>
      </c>
      <c r="AD186">
        <v>5634</v>
      </c>
      <c r="AE186">
        <v>5053</v>
      </c>
      <c r="AF186">
        <v>3062</v>
      </c>
      <c r="AG186">
        <v>1616</v>
      </c>
      <c r="AH186">
        <v>303</v>
      </c>
      <c r="AI186" s="5">
        <v>50.752292393129302</v>
      </c>
      <c r="AJ186" s="5">
        <v>49.247707606870698</v>
      </c>
      <c r="AK186" s="5">
        <v>2.87033449567351</v>
      </c>
      <c r="AL186" s="5">
        <v>14.674544750096899</v>
      </c>
      <c r="AM186" s="5">
        <v>16.9637091566576</v>
      </c>
      <c r="AN186" s="5">
        <v>14.9037840630247</v>
      </c>
      <c r="AO186" s="5">
        <v>18.190623789229001</v>
      </c>
      <c r="AP186" s="5">
        <v>16.3147358904817</v>
      </c>
      <c r="AQ186" s="5">
        <v>9.8863489603512793</v>
      </c>
      <c r="AR186" s="5">
        <v>5.2176159111455496</v>
      </c>
      <c r="AS186" s="5">
        <v>0.97830298333979104</v>
      </c>
    </row>
    <row r="187" spans="1:45" x14ac:dyDescent="0.25">
      <c r="A187" t="s">
        <v>445</v>
      </c>
      <c r="B187" t="s">
        <v>446</v>
      </c>
      <c r="C187" t="s">
        <v>233</v>
      </c>
      <c r="D187">
        <v>28.5</v>
      </c>
      <c r="E187" s="2">
        <f t="shared" si="22"/>
        <v>1910.64</v>
      </c>
      <c r="F187">
        <v>25.59</v>
      </c>
      <c r="G187" s="2">
        <f t="shared" si="23"/>
        <v>1715.5536</v>
      </c>
      <c r="H187">
        <v>21.62</v>
      </c>
      <c r="I187" s="2">
        <f t="shared" si="24"/>
        <v>1449.4048</v>
      </c>
      <c r="J187">
        <v>12.89</v>
      </c>
      <c r="K187" s="2">
        <f t="shared" si="25"/>
        <v>864.14559999999994</v>
      </c>
      <c r="L187">
        <v>9.35</v>
      </c>
      <c r="M187" s="2">
        <f t="shared" si="26"/>
        <v>626.82399999999996</v>
      </c>
      <c r="N187">
        <v>0.79</v>
      </c>
      <c r="O187" s="2">
        <f t="shared" si="27"/>
        <v>52.961599999999997</v>
      </c>
      <c r="P187">
        <v>0.98</v>
      </c>
      <c r="Q187" s="2">
        <f t="shared" si="28"/>
        <v>65.699200000000005</v>
      </c>
      <c r="R187">
        <v>0.28999999999999998</v>
      </c>
      <c r="S187" s="3">
        <f t="shared" si="29"/>
        <v>19.441599999999998</v>
      </c>
      <c r="T187" t="s">
        <v>234</v>
      </c>
      <c r="U187" s="4">
        <f t="shared" si="30"/>
        <v>6704.6704</v>
      </c>
      <c r="V187" s="4">
        <f t="shared" si="31"/>
        <v>0.67039999999997235</v>
      </c>
      <c r="W187">
        <v>6704</v>
      </c>
      <c r="X187">
        <v>3325</v>
      </c>
      <c r="Y187">
        <v>3379</v>
      </c>
      <c r="Z187">
        <v>201</v>
      </c>
      <c r="AA187">
        <v>1056</v>
      </c>
      <c r="AB187">
        <v>1481</v>
      </c>
      <c r="AC187">
        <v>1151</v>
      </c>
      <c r="AD187">
        <v>1093</v>
      </c>
      <c r="AE187">
        <v>920</v>
      </c>
      <c r="AF187">
        <v>524</v>
      </c>
      <c r="AG187">
        <v>237</v>
      </c>
      <c r="AH187">
        <v>41</v>
      </c>
      <c r="AI187" s="5">
        <v>49.597255369928398</v>
      </c>
      <c r="AJ187" s="5">
        <v>50.402744630071602</v>
      </c>
      <c r="AK187" s="5">
        <v>2.99821002386635</v>
      </c>
      <c r="AL187" s="5">
        <v>15.751789976133701</v>
      </c>
      <c r="AM187" s="5">
        <v>22.0912887828162</v>
      </c>
      <c r="AN187" s="5">
        <v>17.168854415274499</v>
      </c>
      <c r="AO187" s="5">
        <v>16.3036992840095</v>
      </c>
      <c r="AP187" s="5">
        <v>13.7231503579952</v>
      </c>
      <c r="AQ187" s="5">
        <v>7.8162291169451104</v>
      </c>
      <c r="AR187" s="5">
        <v>3.53520286396181</v>
      </c>
      <c r="AS187" s="5">
        <v>0.61157517899761304</v>
      </c>
    </row>
    <row r="188" spans="1:45" x14ac:dyDescent="0.25">
      <c r="A188" t="s">
        <v>447</v>
      </c>
      <c r="B188" t="s">
        <v>448</v>
      </c>
      <c r="C188" t="s">
        <v>199</v>
      </c>
      <c r="D188">
        <v>28.46</v>
      </c>
      <c r="E188" s="2">
        <f t="shared" si="22"/>
        <v>1606.2823999999998</v>
      </c>
      <c r="F188">
        <v>24.01</v>
      </c>
      <c r="G188" s="2">
        <f t="shared" si="23"/>
        <v>1355.1243999999999</v>
      </c>
      <c r="H188">
        <v>21.62</v>
      </c>
      <c r="I188" s="2">
        <f t="shared" si="24"/>
        <v>1220.2328</v>
      </c>
      <c r="J188">
        <v>16.149999999999999</v>
      </c>
      <c r="K188" s="2">
        <f t="shared" si="25"/>
        <v>911.50599999999986</v>
      </c>
      <c r="L188">
        <v>7.25</v>
      </c>
      <c r="M188" s="2">
        <f t="shared" si="26"/>
        <v>409.19</v>
      </c>
      <c r="N188">
        <v>0.98</v>
      </c>
      <c r="O188" s="2">
        <f t="shared" si="27"/>
        <v>55.311199999999999</v>
      </c>
      <c r="P188">
        <v>1.2</v>
      </c>
      <c r="Q188" s="2">
        <f t="shared" si="28"/>
        <v>67.728000000000009</v>
      </c>
      <c r="R188">
        <v>0.34</v>
      </c>
      <c r="S188" s="3">
        <f t="shared" si="29"/>
        <v>19.189599999999999</v>
      </c>
      <c r="T188" t="s">
        <v>200</v>
      </c>
      <c r="U188" s="4">
        <f t="shared" si="30"/>
        <v>5644.5643999999993</v>
      </c>
      <c r="V188" s="4">
        <f t="shared" si="31"/>
        <v>0.56439999999929569</v>
      </c>
      <c r="W188">
        <v>5644</v>
      </c>
      <c r="X188">
        <v>2735</v>
      </c>
      <c r="Y188">
        <v>2909</v>
      </c>
      <c r="Z188">
        <v>157</v>
      </c>
      <c r="AA188">
        <v>762</v>
      </c>
      <c r="AB188">
        <v>908</v>
      </c>
      <c r="AC188">
        <v>761</v>
      </c>
      <c r="AD188">
        <v>1135</v>
      </c>
      <c r="AE188">
        <v>930</v>
      </c>
      <c r="AF188">
        <v>616</v>
      </c>
      <c r="AG188">
        <v>320</v>
      </c>
      <c r="AH188">
        <v>55</v>
      </c>
      <c r="AI188" s="5">
        <v>48.458540042522998</v>
      </c>
      <c r="AJ188" s="5">
        <v>51.541459957477002</v>
      </c>
      <c r="AK188" s="5">
        <v>2.78171509567682</v>
      </c>
      <c r="AL188" s="5">
        <v>13.5010630758327</v>
      </c>
      <c r="AM188" s="5">
        <v>16.0878809355067</v>
      </c>
      <c r="AN188" s="5">
        <v>13.483345145287</v>
      </c>
      <c r="AO188" s="5">
        <v>20.109851169383401</v>
      </c>
      <c r="AP188" s="5">
        <v>16.4776754075124</v>
      </c>
      <c r="AQ188" s="5">
        <v>10.9142452161588</v>
      </c>
      <c r="AR188" s="5">
        <v>5.6697377746279196</v>
      </c>
      <c r="AS188" s="5">
        <v>0.97448618001417397</v>
      </c>
    </row>
    <row r="189" spans="1:45" x14ac:dyDescent="0.25">
      <c r="A189" t="s">
        <v>449</v>
      </c>
      <c r="B189" t="s">
        <v>450</v>
      </c>
      <c r="C189" t="s">
        <v>233</v>
      </c>
      <c r="D189">
        <v>37.1</v>
      </c>
      <c r="E189" s="2">
        <f t="shared" si="22"/>
        <v>30403.078999999998</v>
      </c>
      <c r="F189">
        <v>17.86</v>
      </c>
      <c r="G189" s="2">
        <f t="shared" si="23"/>
        <v>14636.091399999999</v>
      </c>
      <c r="H189">
        <v>21.58</v>
      </c>
      <c r="I189" s="2">
        <f t="shared" si="24"/>
        <v>17684.5942</v>
      </c>
      <c r="J189">
        <v>11.12</v>
      </c>
      <c r="K189" s="2">
        <f t="shared" si="25"/>
        <v>9112.728799999999</v>
      </c>
      <c r="L189">
        <v>8.69</v>
      </c>
      <c r="M189" s="2">
        <f t="shared" si="26"/>
        <v>7121.3680999999997</v>
      </c>
      <c r="N189">
        <v>1.1100000000000001</v>
      </c>
      <c r="O189" s="2">
        <f t="shared" si="27"/>
        <v>909.63390000000015</v>
      </c>
      <c r="P189">
        <v>1.7</v>
      </c>
      <c r="Q189" s="2">
        <f t="shared" si="28"/>
        <v>1393.1329999999998</v>
      </c>
      <c r="R189">
        <v>0.84</v>
      </c>
      <c r="S189" s="3">
        <f t="shared" si="29"/>
        <v>688.37160000000006</v>
      </c>
      <c r="T189" t="s">
        <v>234</v>
      </c>
      <c r="U189" s="4">
        <f t="shared" si="30"/>
        <v>81949</v>
      </c>
      <c r="V189" s="4">
        <f t="shared" si="31"/>
        <v>0</v>
      </c>
      <c r="W189">
        <v>81949</v>
      </c>
      <c r="X189">
        <v>40708</v>
      </c>
      <c r="Y189">
        <v>41241</v>
      </c>
      <c r="Z189">
        <v>2356</v>
      </c>
      <c r="AA189">
        <v>13291</v>
      </c>
      <c r="AB189">
        <v>17041</v>
      </c>
      <c r="AC189">
        <v>12158</v>
      </c>
      <c r="AD189">
        <v>12794</v>
      </c>
      <c r="AE189">
        <v>14021</v>
      </c>
      <c r="AF189">
        <v>6714</v>
      </c>
      <c r="AG189">
        <v>2787</v>
      </c>
      <c r="AH189">
        <v>787</v>
      </c>
      <c r="AI189" s="5">
        <v>49.674797740057798</v>
      </c>
      <c r="AJ189" s="5">
        <v>50.325202259942202</v>
      </c>
      <c r="AK189" s="5">
        <v>2.8749588158488799</v>
      </c>
      <c r="AL189" s="5">
        <v>16.218623778203501</v>
      </c>
      <c r="AM189" s="5">
        <v>20.794640569134501</v>
      </c>
      <c r="AN189" s="5">
        <v>14.8360565717702</v>
      </c>
      <c r="AO189" s="5">
        <v>15.612149019512101</v>
      </c>
      <c r="AP189" s="5">
        <v>17.109421713504702</v>
      </c>
      <c r="AQ189" s="5">
        <v>8.1929004624827595</v>
      </c>
      <c r="AR189" s="5">
        <v>3.4008956790198801</v>
      </c>
      <c r="AS189" s="5">
        <v>0.96035339052337398</v>
      </c>
    </row>
    <row r="190" spans="1:45" x14ac:dyDescent="0.25">
      <c r="A190" t="s">
        <v>451</v>
      </c>
      <c r="B190" t="s">
        <v>452</v>
      </c>
      <c r="C190" t="s">
        <v>207</v>
      </c>
      <c r="D190">
        <v>18.66</v>
      </c>
      <c r="E190" s="2">
        <f t="shared" si="22"/>
        <v>1127.4372000000001</v>
      </c>
      <c r="F190">
        <v>32.909999999999997</v>
      </c>
      <c r="G190" s="2">
        <f t="shared" si="23"/>
        <v>1988.4221999999997</v>
      </c>
      <c r="H190">
        <v>21.57</v>
      </c>
      <c r="I190" s="2">
        <f t="shared" si="24"/>
        <v>1303.2593999999999</v>
      </c>
      <c r="J190">
        <v>14.73</v>
      </c>
      <c r="K190" s="2">
        <f t="shared" si="25"/>
        <v>889.98660000000007</v>
      </c>
      <c r="L190">
        <v>10.36</v>
      </c>
      <c r="M190" s="2">
        <f t="shared" si="26"/>
        <v>625.95119999999997</v>
      </c>
      <c r="N190">
        <v>0.44</v>
      </c>
      <c r="O190" s="2">
        <f t="shared" si="27"/>
        <v>26.584800000000001</v>
      </c>
      <c r="P190">
        <v>0.97</v>
      </c>
      <c r="Q190" s="2">
        <f t="shared" si="28"/>
        <v>58.607399999999998</v>
      </c>
      <c r="R190">
        <v>0.38</v>
      </c>
      <c r="S190" s="3">
        <f t="shared" si="29"/>
        <v>22.959600000000002</v>
      </c>
      <c r="T190" t="s">
        <v>208</v>
      </c>
      <c r="U190" s="4">
        <f t="shared" si="30"/>
        <v>6043.2084000000004</v>
      </c>
      <c r="V190" s="4">
        <f t="shared" si="31"/>
        <v>1.208400000000438</v>
      </c>
      <c r="W190">
        <v>6042</v>
      </c>
      <c r="X190">
        <v>3070</v>
      </c>
      <c r="Y190">
        <v>2972</v>
      </c>
      <c r="Z190">
        <v>142</v>
      </c>
      <c r="AA190">
        <v>737</v>
      </c>
      <c r="AB190">
        <v>927</v>
      </c>
      <c r="AC190">
        <v>922</v>
      </c>
      <c r="AD190">
        <v>1134</v>
      </c>
      <c r="AE190">
        <v>1122</v>
      </c>
      <c r="AF190">
        <v>677</v>
      </c>
      <c r="AG190">
        <v>328</v>
      </c>
      <c r="AH190">
        <v>53</v>
      </c>
      <c r="AI190" s="5">
        <v>50.810989738497199</v>
      </c>
      <c r="AJ190" s="5">
        <v>49.189010261502801</v>
      </c>
      <c r="AK190" s="5">
        <v>2.3502151605428701</v>
      </c>
      <c r="AL190" s="5">
        <v>12.1979476994373</v>
      </c>
      <c r="AM190" s="5">
        <v>15.342601787487601</v>
      </c>
      <c r="AN190" s="5">
        <v>15.259847732538899</v>
      </c>
      <c r="AO190" s="5">
        <v>18.768619662363498</v>
      </c>
      <c r="AP190" s="5">
        <v>18.570009930486599</v>
      </c>
      <c r="AQ190" s="5">
        <v>11.204899040053</v>
      </c>
      <c r="AR190" s="5">
        <v>5.4286660046342297</v>
      </c>
      <c r="AS190" s="5">
        <v>0.87719298245613997</v>
      </c>
    </row>
    <row r="191" spans="1:45" x14ac:dyDescent="0.25">
      <c r="A191" t="s">
        <v>453</v>
      </c>
      <c r="B191" t="s">
        <v>454</v>
      </c>
      <c r="C191" t="s">
        <v>113</v>
      </c>
      <c r="D191">
        <v>24.43</v>
      </c>
      <c r="E191" s="2">
        <f t="shared" si="22"/>
        <v>4586.7325000000001</v>
      </c>
      <c r="F191">
        <v>24.54</v>
      </c>
      <c r="G191" s="2">
        <f t="shared" si="23"/>
        <v>4607.3850000000002</v>
      </c>
      <c r="H191">
        <v>21.56</v>
      </c>
      <c r="I191" s="2">
        <f t="shared" si="24"/>
        <v>4047.89</v>
      </c>
      <c r="J191">
        <v>15.61</v>
      </c>
      <c r="K191" s="2">
        <f t="shared" si="25"/>
        <v>2930.7775000000001</v>
      </c>
      <c r="L191">
        <v>10.55</v>
      </c>
      <c r="M191" s="2">
        <f t="shared" si="26"/>
        <v>1980.7625</v>
      </c>
      <c r="N191">
        <v>1.43</v>
      </c>
      <c r="O191" s="2">
        <f t="shared" si="27"/>
        <v>268.48250000000002</v>
      </c>
      <c r="P191">
        <v>1.25</v>
      </c>
      <c r="Q191" s="2">
        <f t="shared" si="28"/>
        <v>234.6875</v>
      </c>
      <c r="R191">
        <v>0.62</v>
      </c>
      <c r="S191" s="3">
        <f t="shared" si="29"/>
        <v>116.405</v>
      </c>
      <c r="T191" t="s">
        <v>114</v>
      </c>
      <c r="U191" s="4">
        <f t="shared" si="30"/>
        <v>18773.122499999998</v>
      </c>
      <c r="V191" s="4">
        <f t="shared" si="31"/>
        <v>-1.8775000000023283</v>
      </c>
      <c r="W191">
        <v>18775</v>
      </c>
      <c r="X191">
        <v>9729</v>
      </c>
      <c r="Y191">
        <v>9046</v>
      </c>
      <c r="Z191">
        <v>664</v>
      </c>
      <c r="AA191">
        <v>3066</v>
      </c>
      <c r="AB191">
        <v>3647</v>
      </c>
      <c r="AC191">
        <v>3524</v>
      </c>
      <c r="AD191">
        <v>2914</v>
      </c>
      <c r="AE191">
        <v>2565</v>
      </c>
      <c r="AF191">
        <v>1548</v>
      </c>
      <c r="AG191">
        <v>703</v>
      </c>
      <c r="AH191">
        <v>144</v>
      </c>
      <c r="AI191" s="5">
        <v>51.818908122503302</v>
      </c>
      <c r="AJ191" s="5">
        <v>48.181091877496698</v>
      </c>
      <c r="AK191" s="5">
        <v>3.5366178428761601</v>
      </c>
      <c r="AL191" s="5">
        <v>16.330226364846901</v>
      </c>
      <c r="AM191" s="5">
        <v>19.4247669773635</v>
      </c>
      <c r="AN191" s="5">
        <v>18.769640479360898</v>
      </c>
      <c r="AO191" s="5">
        <v>15.5206391478029</v>
      </c>
      <c r="AP191" s="5">
        <v>13.6617842876165</v>
      </c>
      <c r="AQ191" s="5">
        <v>8.2450066577896095</v>
      </c>
      <c r="AR191" s="5">
        <v>3.74434087882823</v>
      </c>
      <c r="AS191" s="5">
        <v>0.76697736351531298</v>
      </c>
    </row>
    <row r="192" spans="1:45" x14ac:dyDescent="0.25">
      <c r="A192" t="s">
        <v>455</v>
      </c>
      <c r="B192" t="s">
        <v>456</v>
      </c>
      <c r="C192" t="s">
        <v>217</v>
      </c>
      <c r="D192">
        <v>18.02</v>
      </c>
      <c r="E192" s="2">
        <f t="shared" si="22"/>
        <v>2568.3906000000002</v>
      </c>
      <c r="F192">
        <v>34.75</v>
      </c>
      <c r="G192" s="2">
        <f t="shared" si="23"/>
        <v>4952.9174999999996</v>
      </c>
      <c r="H192">
        <v>21.51</v>
      </c>
      <c r="I192" s="2">
        <f t="shared" si="24"/>
        <v>3065.8203000000003</v>
      </c>
      <c r="J192">
        <v>13.51</v>
      </c>
      <c r="K192" s="2">
        <f t="shared" si="25"/>
        <v>1925.5803000000001</v>
      </c>
      <c r="L192">
        <v>9.83</v>
      </c>
      <c r="M192" s="2">
        <f t="shared" si="26"/>
        <v>1401.0699</v>
      </c>
      <c r="N192">
        <v>0.97</v>
      </c>
      <c r="O192" s="2">
        <f t="shared" si="27"/>
        <v>138.25409999999999</v>
      </c>
      <c r="P192">
        <v>1.1299999999999999</v>
      </c>
      <c r="Q192" s="2">
        <f t="shared" si="28"/>
        <v>161.05889999999997</v>
      </c>
      <c r="R192">
        <v>0.28999999999999998</v>
      </c>
      <c r="S192" s="3">
        <f t="shared" si="29"/>
        <v>41.3337</v>
      </c>
      <c r="T192" t="s">
        <v>218</v>
      </c>
      <c r="U192" s="4">
        <f t="shared" si="30"/>
        <v>14254.425300000001</v>
      </c>
      <c r="V192" s="4">
        <f t="shared" si="31"/>
        <v>1.4253000000007887</v>
      </c>
      <c r="W192">
        <v>14253</v>
      </c>
      <c r="X192">
        <v>7165</v>
      </c>
      <c r="Y192">
        <v>7088</v>
      </c>
      <c r="Z192">
        <v>400</v>
      </c>
      <c r="AA192">
        <v>2021</v>
      </c>
      <c r="AB192">
        <v>2592</v>
      </c>
      <c r="AC192">
        <v>2341</v>
      </c>
      <c r="AD192">
        <v>2468</v>
      </c>
      <c r="AE192">
        <v>2216</v>
      </c>
      <c r="AF192">
        <v>1469</v>
      </c>
      <c r="AG192">
        <v>614</v>
      </c>
      <c r="AH192">
        <v>132</v>
      </c>
      <c r="AI192" s="5">
        <v>50.270118571528798</v>
      </c>
      <c r="AJ192" s="5">
        <v>49.729881428471202</v>
      </c>
      <c r="AK192" s="5">
        <v>2.80642671718235</v>
      </c>
      <c r="AL192" s="5">
        <v>14.1794709885638</v>
      </c>
      <c r="AM192" s="5">
        <v>18.185645127341601</v>
      </c>
      <c r="AN192" s="5">
        <v>16.424612362309698</v>
      </c>
      <c r="AO192" s="5">
        <v>17.315652845015101</v>
      </c>
      <c r="AP192" s="5">
        <v>15.547604013190201</v>
      </c>
      <c r="AQ192" s="5">
        <v>10.306602118852201</v>
      </c>
      <c r="AR192" s="5">
        <v>4.3078650108748997</v>
      </c>
      <c r="AS192" s="5">
        <v>0.92612081667017498</v>
      </c>
    </row>
    <row r="193" spans="1:45" x14ac:dyDescent="0.25">
      <c r="A193" t="s">
        <v>457</v>
      </c>
      <c r="B193" t="s">
        <v>458</v>
      </c>
      <c r="C193" t="s">
        <v>141</v>
      </c>
      <c r="D193">
        <v>18.93</v>
      </c>
      <c r="E193" s="2">
        <f t="shared" si="22"/>
        <v>1521.5934</v>
      </c>
      <c r="F193">
        <v>35.44</v>
      </c>
      <c r="G193" s="2">
        <f t="shared" si="23"/>
        <v>2848.6671999999999</v>
      </c>
      <c r="H193">
        <v>21.5</v>
      </c>
      <c r="I193" s="2">
        <f t="shared" si="24"/>
        <v>1728.17</v>
      </c>
      <c r="J193">
        <v>15.16</v>
      </c>
      <c r="K193" s="2">
        <f t="shared" si="25"/>
        <v>1218.5608</v>
      </c>
      <c r="L193">
        <v>7.02</v>
      </c>
      <c r="M193" s="2">
        <f t="shared" si="26"/>
        <v>564.2675999999999</v>
      </c>
      <c r="N193">
        <v>0.62</v>
      </c>
      <c r="O193" s="2">
        <f t="shared" si="27"/>
        <v>49.835600000000007</v>
      </c>
      <c r="P193">
        <v>0.76</v>
      </c>
      <c r="Q193" s="2">
        <f t="shared" si="28"/>
        <v>61.088799999999999</v>
      </c>
      <c r="R193">
        <v>0.56999999999999995</v>
      </c>
      <c r="S193" s="3">
        <f t="shared" si="29"/>
        <v>45.816600000000001</v>
      </c>
      <c r="T193" t="s">
        <v>142</v>
      </c>
      <c r="U193" s="4">
        <f t="shared" si="30"/>
        <v>8038</v>
      </c>
      <c r="V193" s="4">
        <f t="shared" si="31"/>
        <v>0</v>
      </c>
      <c r="W193">
        <v>8038</v>
      </c>
      <c r="X193">
        <v>3964</v>
      </c>
      <c r="Y193">
        <v>4074</v>
      </c>
      <c r="Z193">
        <v>186</v>
      </c>
      <c r="AA193">
        <v>987</v>
      </c>
      <c r="AB193">
        <v>1207</v>
      </c>
      <c r="AC193">
        <v>1161</v>
      </c>
      <c r="AD193">
        <v>1522</v>
      </c>
      <c r="AE193">
        <v>1353</v>
      </c>
      <c r="AF193">
        <v>966</v>
      </c>
      <c r="AG193">
        <v>579</v>
      </c>
      <c r="AH193">
        <v>77</v>
      </c>
      <c r="AI193" s="5">
        <v>49.315750186613599</v>
      </c>
      <c r="AJ193" s="5">
        <v>50.684249813386401</v>
      </c>
      <c r="AK193" s="5">
        <v>2.3140084598158701</v>
      </c>
      <c r="AL193" s="5">
        <v>12.2791739238617</v>
      </c>
      <c r="AM193" s="5">
        <v>15.0161731774073</v>
      </c>
      <c r="AN193" s="5">
        <v>14.443891515302299</v>
      </c>
      <c r="AO193" s="5">
        <v>18.935058472256799</v>
      </c>
      <c r="AP193" s="5">
        <v>16.832545409305801</v>
      </c>
      <c r="AQ193" s="5">
        <v>12.017914904205</v>
      </c>
      <c r="AR193" s="5">
        <v>7.2032843991042599</v>
      </c>
      <c r="AS193" s="5">
        <v>0.95794973874097999</v>
      </c>
    </row>
    <row r="194" spans="1:45" x14ac:dyDescent="0.25">
      <c r="A194" t="s">
        <v>459</v>
      </c>
      <c r="B194" t="s">
        <v>460</v>
      </c>
      <c r="C194" t="s">
        <v>147</v>
      </c>
      <c r="D194">
        <v>18.8</v>
      </c>
      <c r="E194" s="2">
        <f t="shared" si="22"/>
        <v>7401.7480000000005</v>
      </c>
      <c r="F194">
        <v>33.69</v>
      </c>
      <c r="G194" s="2">
        <f t="shared" si="23"/>
        <v>13264.089899999999</v>
      </c>
      <c r="H194">
        <v>21.47</v>
      </c>
      <c r="I194" s="2">
        <f t="shared" si="24"/>
        <v>8452.9537</v>
      </c>
      <c r="J194">
        <v>15.34</v>
      </c>
      <c r="K194" s="2">
        <f t="shared" si="25"/>
        <v>6039.5114000000003</v>
      </c>
      <c r="L194">
        <v>8.6199999999999992</v>
      </c>
      <c r="M194" s="2">
        <f t="shared" si="26"/>
        <v>3393.7801999999997</v>
      </c>
      <c r="N194">
        <v>0.65</v>
      </c>
      <c r="O194" s="2">
        <f t="shared" si="27"/>
        <v>255.91150000000002</v>
      </c>
      <c r="P194">
        <v>1.07</v>
      </c>
      <c r="Q194" s="2">
        <f t="shared" si="28"/>
        <v>421.2697</v>
      </c>
      <c r="R194">
        <v>0.37</v>
      </c>
      <c r="S194" s="3">
        <f t="shared" si="29"/>
        <v>145.67269999999999</v>
      </c>
      <c r="T194" t="s">
        <v>148</v>
      </c>
      <c r="U194" s="4">
        <f t="shared" si="30"/>
        <v>39374.937099999996</v>
      </c>
      <c r="V194" s="4">
        <f t="shared" si="31"/>
        <v>3.9370999999955529</v>
      </c>
      <c r="W194">
        <v>39371</v>
      </c>
      <c r="X194">
        <v>20240</v>
      </c>
      <c r="Y194">
        <v>19131</v>
      </c>
      <c r="Z194">
        <v>1168</v>
      </c>
      <c r="AA194">
        <v>5902</v>
      </c>
      <c r="AB194">
        <v>7004</v>
      </c>
      <c r="AC194">
        <v>5958</v>
      </c>
      <c r="AD194">
        <v>7017</v>
      </c>
      <c r="AE194">
        <v>6235</v>
      </c>
      <c r="AF194">
        <v>3876</v>
      </c>
      <c r="AG194">
        <v>1861</v>
      </c>
      <c r="AH194">
        <v>350</v>
      </c>
      <c r="AI194" s="5">
        <v>51.408397043509197</v>
      </c>
      <c r="AJ194" s="5">
        <v>48.591602956490803</v>
      </c>
      <c r="AK194" s="5">
        <v>2.9666505803764198</v>
      </c>
      <c r="AL194" s="5">
        <v>14.9907292169363</v>
      </c>
      <c r="AM194" s="5">
        <v>17.789743719996999</v>
      </c>
      <c r="AN194" s="5">
        <v>15.1329658885982</v>
      </c>
      <c r="AO194" s="5">
        <v>17.822762947347002</v>
      </c>
      <c r="AP194" s="5">
        <v>15.8365294252115</v>
      </c>
      <c r="AQ194" s="5">
        <v>9.8448096314546198</v>
      </c>
      <c r="AR194" s="5">
        <v>4.7268293921922204</v>
      </c>
      <c r="AS194" s="5">
        <v>0.88897919788676905</v>
      </c>
    </row>
    <row r="195" spans="1:45" x14ac:dyDescent="0.25">
      <c r="A195" t="s">
        <v>461</v>
      </c>
      <c r="B195" t="s">
        <v>462</v>
      </c>
      <c r="C195" t="s">
        <v>113</v>
      </c>
      <c r="D195">
        <v>23.56</v>
      </c>
      <c r="E195" s="2">
        <f t="shared" ref="E195:E258" si="32">D195*W195/100</f>
        <v>4196.9784</v>
      </c>
      <c r="F195">
        <v>22</v>
      </c>
      <c r="G195" s="2">
        <f t="shared" ref="G195:G258" si="33">F195*W195/100</f>
        <v>3919.08</v>
      </c>
      <c r="H195">
        <v>21.46</v>
      </c>
      <c r="I195" s="2">
        <f t="shared" ref="I195:I258" si="34">H195*W195/100</f>
        <v>3822.8843999999999</v>
      </c>
      <c r="J195">
        <v>18.71</v>
      </c>
      <c r="K195" s="2">
        <f t="shared" ref="K195:K258" si="35">J195*W195/100</f>
        <v>3332.9994000000002</v>
      </c>
      <c r="L195">
        <v>11.52</v>
      </c>
      <c r="M195" s="2">
        <f t="shared" ref="M195:M258" si="36">L195*W195/100</f>
        <v>2052.1727999999998</v>
      </c>
      <c r="N195">
        <v>0.98</v>
      </c>
      <c r="O195" s="2">
        <f t="shared" ref="O195:O258" si="37">N195*W195/100</f>
        <v>174.5772</v>
      </c>
      <c r="P195">
        <v>1.2</v>
      </c>
      <c r="Q195" s="2">
        <f t="shared" ref="Q195:Q258" si="38">P195*W195/100</f>
        <v>213.768</v>
      </c>
      <c r="R195">
        <v>0.56000000000000005</v>
      </c>
      <c r="S195" s="3">
        <f t="shared" ref="S195:S258" si="39">R195*W195/100</f>
        <v>99.758399999999995</v>
      </c>
      <c r="T195" t="s">
        <v>114</v>
      </c>
      <c r="U195" s="4">
        <f t="shared" si="30"/>
        <v>17812.2186</v>
      </c>
      <c r="V195" s="4">
        <f t="shared" si="31"/>
        <v>-1.7813999999998487</v>
      </c>
      <c r="W195">
        <v>17814</v>
      </c>
      <c r="X195">
        <v>9063</v>
      </c>
      <c r="Y195">
        <v>8751</v>
      </c>
      <c r="Z195">
        <v>495</v>
      </c>
      <c r="AA195">
        <v>2504</v>
      </c>
      <c r="AB195">
        <v>2982</v>
      </c>
      <c r="AC195">
        <v>2897</v>
      </c>
      <c r="AD195">
        <v>2825</v>
      </c>
      <c r="AE195">
        <v>2975</v>
      </c>
      <c r="AF195">
        <v>2030</v>
      </c>
      <c r="AG195">
        <v>932</v>
      </c>
      <c r="AH195">
        <v>174</v>
      </c>
      <c r="AI195" s="5">
        <v>50.875715729201801</v>
      </c>
      <c r="AJ195" s="5">
        <v>49.124284270798199</v>
      </c>
      <c r="AK195" s="5">
        <v>2.7787133715055599</v>
      </c>
      <c r="AL195" s="5">
        <v>14.056360166161401</v>
      </c>
      <c r="AM195" s="5">
        <v>16.739642977433501</v>
      </c>
      <c r="AN195" s="5">
        <v>16.262490176265899</v>
      </c>
      <c r="AO195" s="5">
        <v>15.858313685864999</v>
      </c>
      <c r="AP195" s="5">
        <v>16.7003480408667</v>
      </c>
      <c r="AQ195" s="5">
        <v>11.395531604356099</v>
      </c>
      <c r="AR195" s="5">
        <v>5.2318401257438003</v>
      </c>
      <c r="AS195" s="5">
        <v>0.97675985180195402</v>
      </c>
    </row>
    <row r="196" spans="1:45" x14ac:dyDescent="0.25">
      <c r="A196" t="s">
        <v>463</v>
      </c>
      <c r="B196" t="s">
        <v>464</v>
      </c>
      <c r="C196" t="s">
        <v>141</v>
      </c>
      <c r="D196">
        <v>17</v>
      </c>
      <c r="E196" s="2">
        <f t="shared" si="32"/>
        <v>2017.9</v>
      </c>
      <c r="F196">
        <v>41.3</v>
      </c>
      <c r="G196" s="2">
        <f t="shared" si="33"/>
        <v>4902.3099999999995</v>
      </c>
      <c r="H196">
        <v>21.45</v>
      </c>
      <c r="I196" s="2">
        <f t="shared" si="34"/>
        <v>2546.1149999999998</v>
      </c>
      <c r="J196">
        <v>11.93</v>
      </c>
      <c r="K196" s="2">
        <f t="shared" si="35"/>
        <v>1416.0910000000001</v>
      </c>
      <c r="L196">
        <v>6.18</v>
      </c>
      <c r="M196" s="2">
        <f t="shared" si="36"/>
        <v>733.56599999999992</v>
      </c>
      <c r="N196">
        <v>0.54</v>
      </c>
      <c r="O196" s="2">
        <f t="shared" si="37"/>
        <v>64.097999999999999</v>
      </c>
      <c r="P196">
        <v>1.1499999999999999</v>
      </c>
      <c r="Q196" s="2">
        <f t="shared" si="38"/>
        <v>136.505</v>
      </c>
      <c r="R196">
        <v>0.45</v>
      </c>
      <c r="S196" s="3">
        <f t="shared" si="39"/>
        <v>53.414999999999999</v>
      </c>
      <c r="T196" t="s">
        <v>142</v>
      </c>
      <c r="U196" s="4">
        <f t="shared" ref="U196:U259" si="40">SUM(S196,Q196,O196,M196,K196,I196,G196,E196)</f>
        <v>11869.999999999998</v>
      </c>
      <c r="V196" s="4">
        <f t="shared" ref="V196:V259" si="41">U196-W196</f>
        <v>0</v>
      </c>
      <c r="W196">
        <v>11870</v>
      </c>
      <c r="X196">
        <v>6034</v>
      </c>
      <c r="Y196">
        <v>5836</v>
      </c>
      <c r="Z196">
        <v>380</v>
      </c>
      <c r="AA196">
        <v>1725</v>
      </c>
      <c r="AB196">
        <v>2106</v>
      </c>
      <c r="AC196">
        <v>1907</v>
      </c>
      <c r="AD196">
        <v>2096</v>
      </c>
      <c r="AE196">
        <v>1877</v>
      </c>
      <c r="AF196">
        <v>1105</v>
      </c>
      <c r="AG196">
        <v>534</v>
      </c>
      <c r="AH196">
        <v>140</v>
      </c>
      <c r="AI196" s="5">
        <v>50.834035383319303</v>
      </c>
      <c r="AJ196" s="5">
        <v>49.165964616680697</v>
      </c>
      <c r="AK196" s="5">
        <v>3.2013479359730401</v>
      </c>
      <c r="AL196" s="5">
        <v>14.5324347093513</v>
      </c>
      <c r="AM196" s="5">
        <v>17.7422072451559</v>
      </c>
      <c r="AN196" s="5">
        <v>16.0657118786858</v>
      </c>
      <c r="AO196" s="5">
        <v>17.657961246840799</v>
      </c>
      <c r="AP196" s="5">
        <v>15.812973883740501</v>
      </c>
      <c r="AQ196" s="5">
        <v>9.3091828138163404</v>
      </c>
      <c r="AR196" s="5">
        <v>4.4987363100252704</v>
      </c>
      <c r="AS196" s="5">
        <v>1.17944397641112</v>
      </c>
    </row>
    <row r="197" spans="1:45" x14ac:dyDescent="0.25">
      <c r="A197" t="s">
        <v>465</v>
      </c>
      <c r="B197" t="s">
        <v>466</v>
      </c>
      <c r="C197" t="s">
        <v>113</v>
      </c>
      <c r="D197">
        <v>28.41</v>
      </c>
      <c r="E197" s="2">
        <f t="shared" si="32"/>
        <v>5860.4147999999996</v>
      </c>
      <c r="F197">
        <v>19.18</v>
      </c>
      <c r="G197" s="2">
        <f t="shared" si="33"/>
        <v>3956.4503999999997</v>
      </c>
      <c r="H197">
        <v>21.29</v>
      </c>
      <c r="I197" s="2">
        <f t="shared" si="34"/>
        <v>4391.7011999999995</v>
      </c>
      <c r="J197">
        <v>13.95</v>
      </c>
      <c r="K197" s="2">
        <f t="shared" si="35"/>
        <v>2877.6059999999998</v>
      </c>
      <c r="L197">
        <v>13.82</v>
      </c>
      <c r="M197" s="2">
        <f t="shared" si="36"/>
        <v>2850.7896000000001</v>
      </c>
      <c r="N197">
        <v>1.3</v>
      </c>
      <c r="O197" s="2">
        <f t="shared" si="37"/>
        <v>268.16399999999999</v>
      </c>
      <c r="P197">
        <v>1.43</v>
      </c>
      <c r="Q197" s="2">
        <f t="shared" si="38"/>
        <v>294.98039999999997</v>
      </c>
      <c r="R197">
        <v>0.61</v>
      </c>
      <c r="S197" s="3">
        <f t="shared" si="39"/>
        <v>125.8308</v>
      </c>
      <c r="T197" t="s">
        <v>114</v>
      </c>
      <c r="U197" s="4">
        <f t="shared" si="40"/>
        <v>20625.9372</v>
      </c>
      <c r="V197" s="4">
        <f t="shared" si="41"/>
        <v>-2.0627999999996973</v>
      </c>
      <c r="W197">
        <v>20628</v>
      </c>
      <c r="X197">
        <v>10451</v>
      </c>
      <c r="Y197">
        <v>10177</v>
      </c>
      <c r="Z197">
        <v>611</v>
      </c>
      <c r="AA197">
        <v>2904</v>
      </c>
      <c r="AB197">
        <v>3718</v>
      </c>
      <c r="AC197">
        <v>3407</v>
      </c>
      <c r="AD197">
        <v>3289</v>
      </c>
      <c r="AE197">
        <v>3503</v>
      </c>
      <c r="AF197">
        <v>2184</v>
      </c>
      <c r="AG197">
        <v>842</v>
      </c>
      <c r="AH197">
        <v>170</v>
      </c>
      <c r="AI197" s="5">
        <v>50.6641458212139</v>
      </c>
      <c r="AJ197" s="5">
        <v>49.3358541787861</v>
      </c>
      <c r="AK197" s="5">
        <v>2.9619934070195799</v>
      </c>
      <c r="AL197" s="5">
        <v>14.077952297847601</v>
      </c>
      <c r="AM197" s="5">
        <v>18.024044987395801</v>
      </c>
      <c r="AN197" s="5">
        <v>16.5163854954431</v>
      </c>
      <c r="AO197" s="5">
        <v>15.9443474888501</v>
      </c>
      <c r="AP197" s="5">
        <v>16.981772348264499</v>
      </c>
      <c r="AQ197" s="5">
        <v>10.587550901687001</v>
      </c>
      <c r="AR197" s="5">
        <v>4.0818305216211002</v>
      </c>
      <c r="AS197" s="5">
        <v>0.82412255187124295</v>
      </c>
    </row>
    <row r="198" spans="1:45" x14ac:dyDescent="0.25">
      <c r="A198" t="s">
        <v>467</v>
      </c>
      <c r="B198" t="s">
        <v>468</v>
      </c>
      <c r="C198" t="s">
        <v>141</v>
      </c>
      <c r="D198">
        <v>19.63</v>
      </c>
      <c r="E198" s="2">
        <f t="shared" si="32"/>
        <v>3505.7217000000001</v>
      </c>
      <c r="F198">
        <v>35.89</v>
      </c>
      <c r="G198" s="2">
        <f t="shared" si="33"/>
        <v>6409.5951000000005</v>
      </c>
      <c r="H198">
        <v>21.23</v>
      </c>
      <c r="I198" s="2">
        <f t="shared" si="34"/>
        <v>3791.4657000000002</v>
      </c>
      <c r="J198">
        <v>13.41</v>
      </c>
      <c r="K198" s="2">
        <f t="shared" si="35"/>
        <v>2394.8919000000001</v>
      </c>
      <c r="L198">
        <v>7.57</v>
      </c>
      <c r="M198" s="2">
        <f t="shared" si="36"/>
        <v>1351.9263000000001</v>
      </c>
      <c r="N198">
        <v>0.6</v>
      </c>
      <c r="O198" s="2">
        <f t="shared" si="37"/>
        <v>107.154</v>
      </c>
      <c r="P198">
        <v>1.1299999999999999</v>
      </c>
      <c r="Q198" s="2">
        <f t="shared" si="38"/>
        <v>201.80669999999998</v>
      </c>
      <c r="R198">
        <v>0.54</v>
      </c>
      <c r="S198" s="3">
        <f t="shared" si="39"/>
        <v>96.438600000000008</v>
      </c>
      <c r="T198" t="s">
        <v>142</v>
      </c>
      <c r="U198" s="4">
        <f t="shared" si="40"/>
        <v>17859</v>
      </c>
      <c r="V198" s="4">
        <f t="shared" si="41"/>
        <v>0</v>
      </c>
      <c r="W198">
        <v>17859</v>
      </c>
      <c r="X198">
        <v>9201</v>
      </c>
      <c r="Y198">
        <v>8658</v>
      </c>
      <c r="Z198">
        <v>543</v>
      </c>
      <c r="AA198">
        <v>2647</v>
      </c>
      <c r="AB198">
        <v>2955</v>
      </c>
      <c r="AC198">
        <v>2753</v>
      </c>
      <c r="AD198">
        <v>3111</v>
      </c>
      <c r="AE198">
        <v>2989</v>
      </c>
      <c r="AF198">
        <v>1784</v>
      </c>
      <c r="AG198">
        <v>895</v>
      </c>
      <c r="AH198">
        <v>182</v>
      </c>
      <c r="AI198" s="5">
        <v>51.520241894842897</v>
      </c>
      <c r="AJ198" s="5">
        <v>48.479758105157103</v>
      </c>
      <c r="AK198" s="5">
        <v>3.0404837896858701</v>
      </c>
      <c r="AL198" s="5">
        <v>14.821658547511101</v>
      </c>
      <c r="AM198" s="5">
        <v>16.5462791869646</v>
      </c>
      <c r="AN198" s="5">
        <v>15.4151968195308</v>
      </c>
      <c r="AO198" s="5">
        <v>17.419788342012399</v>
      </c>
      <c r="AP198" s="5">
        <v>16.7366593874237</v>
      </c>
      <c r="AQ198" s="5">
        <v>9.9893611064449299</v>
      </c>
      <c r="AR198" s="5">
        <v>5.01147880620415</v>
      </c>
      <c r="AS198" s="5">
        <v>1.01909401422252</v>
      </c>
    </row>
    <row r="199" spans="1:45" x14ac:dyDescent="0.25">
      <c r="A199" t="s">
        <v>469</v>
      </c>
      <c r="B199" t="s">
        <v>470</v>
      </c>
      <c r="C199" t="s">
        <v>207</v>
      </c>
      <c r="D199">
        <v>19.43</v>
      </c>
      <c r="E199" s="2">
        <f t="shared" si="32"/>
        <v>1136.8492999999999</v>
      </c>
      <c r="F199">
        <v>35.96</v>
      </c>
      <c r="G199" s="2">
        <f t="shared" si="33"/>
        <v>2104.0196000000001</v>
      </c>
      <c r="H199">
        <v>21.18</v>
      </c>
      <c r="I199" s="2">
        <f t="shared" si="34"/>
        <v>1239.2418</v>
      </c>
      <c r="J199">
        <v>10.47</v>
      </c>
      <c r="K199" s="2">
        <f t="shared" si="35"/>
        <v>612.59969999999998</v>
      </c>
      <c r="L199">
        <v>10.79</v>
      </c>
      <c r="M199" s="2">
        <f t="shared" si="36"/>
        <v>631.32289999999989</v>
      </c>
      <c r="N199">
        <v>0.64</v>
      </c>
      <c r="O199" s="2">
        <f t="shared" si="37"/>
        <v>37.446399999999997</v>
      </c>
      <c r="P199">
        <v>0.97</v>
      </c>
      <c r="Q199" s="2">
        <f t="shared" si="38"/>
        <v>56.7547</v>
      </c>
      <c r="R199">
        <v>0.56000000000000005</v>
      </c>
      <c r="S199" s="3">
        <f t="shared" si="39"/>
        <v>32.765600000000006</v>
      </c>
      <c r="T199" t="s">
        <v>208</v>
      </c>
      <c r="U199" s="4">
        <f t="shared" si="40"/>
        <v>5851</v>
      </c>
      <c r="V199" s="4">
        <f t="shared" si="41"/>
        <v>0</v>
      </c>
      <c r="W199">
        <v>5851</v>
      </c>
      <c r="X199">
        <v>2889</v>
      </c>
      <c r="Y199">
        <v>2962</v>
      </c>
      <c r="Z199">
        <v>123</v>
      </c>
      <c r="AA199">
        <v>654</v>
      </c>
      <c r="AB199">
        <v>968</v>
      </c>
      <c r="AC199">
        <v>1056</v>
      </c>
      <c r="AD199">
        <v>1032</v>
      </c>
      <c r="AE199">
        <v>983</v>
      </c>
      <c r="AF199">
        <v>636</v>
      </c>
      <c r="AG199">
        <v>325</v>
      </c>
      <c r="AH199">
        <v>74</v>
      </c>
      <c r="AI199" s="5">
        <v>49.376175012818301</v>
      </c>
      <c r="AJ199" s="5">
        <v>50.623824987181699</v>
      </c>
      <c r="AK199" s="5">
        <v>2.1022047513245599</v>
      </c>
      <c r="AL199" s="5">
        <v>11.177576482652499</v>
      </c>
      <c r="AM199" s="5">
        <v>16.544180481968901</v>
      </c>
      <c r="AN199" s="5">
        <v>18.048196889420598</v>
      </c>
      <c r="AO199" s="5">
        <v>17.638010596479202</v>
      </c>
      <c r="AP199" s="5">
        <v>16.8005469150573</v>
      </c>
      <c r="AQ199" s="5">
        <v>10.8699367629465</v>
      </c>
      <c r="AR199" s="5">
        <v>5.5546060502478198</v>
      </c>
      <c r="AS199" s="5">
        <v>1.2647410699025801</v>
      </c>
    </row>
    <row r="200" spans="1:45" x14ac:dyDescent="0.25">
      <c r="A200" t="s">
        <v>471</v>
      </c>
      <c r="B200" t="s">
        <v>472</v>
      </c>
      <c r="C200" t="s">
        <v>207</v>
      </c>
      <c r="D200">
        <v>13.88</v>
      </c>
      <c r="E200" s="2">
        <f t="shared" si="32"/>
        <v>2161.81</v>
      </c>
      <c r="F200">
        <v>37.090000000000003</v>
      </c>
      <c r="G200" s="2">
        <f t="shared" si="33"/>
        <v>5776.7674999999999</v>
      </c>
      <c r="H200">
        <v>21.17</v>
      </c>
      <c r="I200" s="2">
        <f t="shared" si="34"/>
        <v>3297.2275</v>
      </c>
      <c r="J200">
        <v>16.87</v>
      </c>
      <c r="K200" s="2">
        <f t="shared" si="35"/>
        <v>2627.5025000000001</v>
      </c>
      <c r="L200">
        <v>8.81</v>
      </c>
      <c r="M200" s="2">
        <f t="shared" si="36"/>
        <v>1372.1575</v>
      </c>
      <c r="N200">
        <v>0.55000000000000004</v>
      </c>
      <c r="O200" s="2">
        <f t="shared" si="37"/>
        <v>85.662499999999994</v>
      </c>
      <c r="P200">
        <v>1.17</v>
      </c>
      <c r="Q200" s="2">
        <f t="shared" si="38"/>
        <v>182.22749999999999</v>
      </c>
      <c r="R200">
        <v>0.45</v>
      </c>
      <c r="S200" s="3">
        <f t="shared" si="39"/>
        <v>70.087500000000006</v>
      </c>
      <c r="T200" t="s">
        <v>208</v>
      </c>
      <c r="U200" s="4">
        <f t="shared" si="40"/>
        <v>15573.442499999999</v>
      </c>
      <c r="V200" s="4">
        <f t="shared" si="41"/>
        <v>-1.5575000000008004</v>
      </c>
      <c r="W200">
        <v>15575</v>
      </c>
      <c r="X200">
        <v>7882</v>
      </c>
      <c r="Y200">
        <v>7693</v>
      </c>
      <c r="Z200">
        <v>419</v>
      </c>
      <c r="AA200">
        <v>2167</v>
      </c>
      <c r="AB200">
        <v>2716</v>
      </c>
      <c r="AC200">
        <v>2318</v>
      </c>
      <c r="AD200">
        <v>3010</v>
      </c>
      <c r="AE200">
        <v>2569</v>
      </c>
      <c r="AF200">
        <v>1568</v>
      </c>
      <c r="AG200">
        <v>641</v>
      </c>
      <c r="AH200">
        <v>167</v>
      </c>
      <c r="AI200" s="5">
        <v>50.606741573033702</v>
      </c>
      <c r="AJ200" s="5">
        <v>49.393258426966298</v>
      </c>
      <c r="AK200" s="5">
        <v>2.6902086677367598</v>
      </c>
      <c r="AL200" s="5">
        <v>13.9133226324238</v>
      </c>
      <c r="AM200" s="5">
        <v>17.438202247191001</v>
      </c>
      <c r="AN200" s="5">
        <v>14.882825040128401</v>
      </c>
      <c r="AO200" s="5">
        <v>19.325842696629199</v>
      </c>
      <c r="AP200" s="5">
        <v>16.4943820224719</v>
      </c>
      <c r="AQ200" s="5">
        <v>10.0674157303371</v>
      </c>
      <c r="AR200" s="5">
        <v>4.1155698234349902</v>
      </c>
      <c r="AS200" s="5">
        <v>1.07223113964687</v>
      </c>
    </row>
    <row r="201" spans="1:45" x14ac:dyDescent="0.25">
      <c r="A201" t="s">
        <v>473</v>
      </c>
      <c r="B201" t="s">
        <v>474</v>
      </c>
      <c r="C201" t="s">
        <v>411</v>
      </c>
      <c r="D201">
        <v>23.46</v>
      </c>
      <c r="E201" s="2">
        <f t="shared" si="32"/>
        <v>361.04940000000005</v>
      </c>
      <c r="F201">
        <v>32.630000000000003</v>
      </c>
      <c r="G201" s="2">
        <f t="shared" si="33"/>
        <v>502.17570000000006</v>
      </c>
      <c r="H201">
        <v>21.14</v>
      </c>
      <c r="I201" s="2">
        <f t="shared" si="34"/>
        <v>325.34460000000001</v>
      </c>
      <c r="J201">
        <v>11.49</v>
      </c>
      <c r="K201" s="2">
        <f t="shared" si="35"/>
        <v>176.83109999999999</v>
      </c>
      <c r="L201">
        <v>8.59</v>
      </c>
      <c r="M201" s="2">
        <f t="shared" si="36"/>
        <v>132.20009999999999</v>
      </c>
      <c r="N201">
        <v>0.68</v>
      </c>
      <c r="O201" s="2">
        <f t="shared" si="37"/>
        <v>10.465199999999999</v>
      </c>
      <c r="P201">
        <v>1.54</v>
      </c>
      <c r="Q201" s="2">
        <f t="shared" si="38"/>
        <v>23.700599999999998</v>
      </c>
      <c r="R201">
        <v>0.48</v>
      </c>
      <c r="S201" s="3">
        <f t="shared" si="39"/>
        <v>7.3872</v>
      </c>
      <c r="T201" t="s">
        <v>412</v>
      </c>
      <c r="U201" s="4">
        <f t="shared" si="40"/>
        <v>1539.1539000000002</v>
      </c>
      <c r="V201" s="4">
        <f t="shared" si="41"/>
        <v>0.15390000000024884</v>
      </c>
      <c r="W201">
        <v>1539</v>
      </c>
      <c r="X201">
        <v>676</v>
      </c>
      <c r="Y201">
        <v>863</v>
      </c>
      <c r="Z201">
        <v>39</v>
      </c>
      <c r="AA201">
        <v>255</v>
      </c>
      <c r="AB201">
        <v>325</v>
      </c>
      <c r="AC201">
        <v>305</v>
      </c>
      <c r="AD201">
        <v>281</v>
      </c>
      <c r="AE201">
        <v>193</v>
      </c>
      <c r="AF201">
        <v>93</v>
      </c>
      <c r="AG201">
        <v>44</v>
      </c>
      <c r="AH201">
        <v>4</v>
      </c>
      <c r="AI201" s="5">
        <v>43.924626380766703</v>
      </c>
      <c r="AJ201" s="5">
        <v>56.075373619233297</v>
      </c>
      <c r="AK201" s="5">
        <v>2.53411306042885</v>
      </c>
      <c r="AL201" s="5">
        <v>16.569200779727101</v>
      </c>
      <c r="AM201" s="5">
        <v>21.117608836907099</v>
      </c>
      <c r="AN201" s="5">
        <v>19.8180636777128</v>
      </c>
      <c r="AO201" s="5">
        <v>18.258609486679699</v>
      </c>
      <c r="AP201" s="5">
        <v>12.5406107862248</v>
      </c>
      <c r="AQ201" s="5">
        <v>6.0428849902534099</v>
      </c>
      <c r="AR201" s="5">
        <v>2.8589993502274198</v>
      </c>
      <c r="AS201" s="5">
        <v>0.259909031838856</v>
      </c>
    </row>
    <row r="202" spans="1:45" x14ac:dyDescent="0.25">
      <c r="A202" t="s">
        <v>475</v>
      </c>
      <c r="B202" t="s">
        <v>476</v>
      </c>
      <c r="C202" t="s">
        <v>93</v>
      </c>
      <c r="D202">
        <v>20.190000000000001</v>
      </c>
      <c r="E202" s="2">
        <f t="shared" si="32"/>
        <v>1890.3896999999999</v>
      </c>
      <c r="F202">
        <v>29.38</v>
      </c>
      <c r="G202" s="2">
        <f t="shared" si="33"/>
        <v>2750.8494000000001</v>
      </c>
      <c r="H202">
        <v>21.1</v>
      </c>
      <c r="I202" s="2">
        <f t="shared" si="34"/>
        <v>1975.5930000000001</v>
      </c>
      <c r="J202">
        <v>17.53</v>
      </c>
      <c r="K202" s="2">
        <f t="shared" si="35"/>
        <v>1641.3339000000001</v>
      </c>
      <c r="L202">
        <v>9.02</v>
      </c>
      <c r="M202" s="2">
        <f t="shared" si="36"/>
        <v>844.54259999999999</v>
      </c>
      <c r="N202">
        <v>0.96</v>
      </c>
      <c r="O202" s="2">
        <f t="shared" si="37"/>
        <v>89.884799999999998</v>
      </c>
      <c r="P202">
        <v>1.1100000000000001</v>
      </c>
      <c r="Q202" s="2">
        <f t="shared" si="38"/>
        <v>103.9293</v>
      </c>
      <c r="R202">
        <v>0.71</v>
      </c>
      <c r="S202" s="3">
        <f t="shared" si="39"/>
        <v>66.4773</v>
      </c>
      <c r="T202" t="s">
        <v>94</v>
      </c>
      <c r="U202" s="4">
        <f t="shared" si="40"/>
        <v>9363</v>
      </c>
      <c r="V202" s="4">
        <f t="shared" si="41"/>
        <v>0</v>
      </c>
      <c r="W202">
        <v>9363</v>
      </c>
      <c r="X202">
        <v>4364</v>
      </c>
      <c r="Y202">
        <v>4999</v>
      </c>
      <c r="Z202">
        <v>284</v>
      </c>
      <c r="AA202">
        <v>1460</v>
      </c>
      <c r="AB202">
        <v>1753</v>
      </c>
      <c r="AC202">
        <v>1629</v>
      </c>
      <c r="AD202">
        <v>1803</v>
      </c>
      <c r="AE202">
        <v>1326</v>
      </c>
      <c r="AF202">
        <v>714</v>
      </c>
      <c r="AG202">
        <v>334</v>
      </c>
      <c r="AH202">
        <v>60</v>
      </c>
      <c r="AI202" s="5">
        <v>46.608992844173898</v>
      </c>
      <c r="AJ202" s="5">
        <v>53.391007155826102</v>
      </c>
      <c r="AK202" s="5">
        <v>3.0332158496208499</v>
      </c>
      <c r="AL202" s="5">
        <v>15.5932927480508</v>
      </c>
      <c r="AM202" s="5">
        <v>18.722631635159701</v>
      </c>
      <c r="AN202" s="5">
        <v>17.398269785325201</v>
      </c>
      <c r="AO202" s="5">
        <v>19.256648510092901</v>
      </c>
      <c r="AP202" s="5">
        <v>14.162127523229699</v>
      </c>
      <c r="AQ202" s="5">
        <v>7.6257609740467798</v>
      </c>
      <c r="AR202" s="5">
        <v>3.5672327245541</v>
      </c>
      <c r="AS202" s="5">
        <v>0.64082024991989694</v>
      </c>
    </row>
    <row r="203" spans="1:45" x14ac:dyDescent="0.25">
      <c r="A203" t="s">
        <v>477</v>
      </c>
      <c r="B203" t="s">
        <v>478</v>
      </c>
      <c r="C203" t="s">
        <v>141</v>
      </c>
      <c r="D203">
        <v>17.38</v>
      </c>
      <c r="E203" s="2">
        <f t="shared" si="32"/>
        <v>2091.3353999999999</v>
      </c>
      <c r="F203">
        <v>36.270000000000003</v>
      </c>
      <c r="G203" s="2">
        <f t="shared" si="33"/>
        <v>4364.3690999999999</v>
      </c>
      <c r="H203">
        <v>21.04</v>
      </c>
      <c r="I203" s="2">
        <f t="shared" si="34"/>
        <v>2531.7431999999999</v>
      </c>
      <c r="J203">
        <v>17.82</v>
      </c>
      <c r="K203" s="2">
        <f t="shared" si="35"/>
        <v>2144.2806</v>
      </c>
      <c r="L203">
        <v>5.6</v>
      </c>
      <c r="M203" s="2">
        <f t="shared" si="36"/>
        <v>673.84800000000007</v>
      </c>
      <c r="N203">
        <v>0.56999999999999995</v>
      </c>
      <c r="O203" s="2">
        <f t="shared" si="37"/>
        <v>68.588099999999997</v>
      </c>
      <c r="P203">
        <v>0.78</v>
      </c>
      <c r="Q203" s="2">
        <f t="shared" si="38"/>
        <v>93.857399999999998</v>
      </c>
      <c r="R203">
        <v>0.54</v>
      </c>
      <c r="S203" s="3">
        <f t="shared" si="39"/>
        <v>64.978200000000001</v>
      </c>
      <c r="T203" t="s">
        <v>142</v>
      </c>
      <c r="U203" s="4">
        <f t="shared" si="40"/>
        <v>12033</v>
      </c>
      <c r="V203" s="4">
        <f t="shared" si="41"/>
        <v>0</v>
      </c>
      <c r="W203">
        <v>12033</v>
      </c>
      <c r="X203">
        <v>5965</v>
      </c>
      <c r="Y203">
        <v>6068</v>
      </c>
      <c r="Z203">
        <v>292</v>
      </c>
      <c r="AA203">
        <v>1779</v>
      </c>
      <c r="AB203">
        <v>1909</v>
      </c>
      <c r="AC203">
        <v>1822</v>
      </c>
      <c r="AD203">
        <v>2282</v>
      </c>
      <c r="AE203">
        <v>1778</v>
      </c>
      <c r="AF203">
        <v>1307</v>
      </c>
      <c r="AG203">
        <v>766</v>
      </c>
      <c r="AH203">
        <v>98</v>
      </c>
      <c r="AI203" s="5">
        <v>49.572010304994599</v>
      </c>
      <c r="AJ203" s="5">
        <v>50.427989695005401</v>
      </c>
      <c r="AK203" s="5">
        <v>2.4266600182830498</v>
      </c>
      <c r="AL203" s="5">
        <v>14.7843430565944</v>
      </c>
      <c r="AM203" s="5">
        <v>15.8647053935012</v>
      </c>
      <c r="AN203" s="5">
        <v>15.141693675725101</v>
      </c>
      <c r="AO203" s="5">
        <v>18.964514252472402</v>
      </c>
      <c r="AP203" s="5">
        <v>14.7760325770797</v>
      </c>
      <c r="AQ203" s="5">
        <v>10.8617967256711</v>
      </c>
      <c r="AR203" s="5">
        <v>6.3658273082356898</v>
      </c>
      <c r="AS203" s="5">
        <v>0.81442699243746397</v>
      </c>
    </row>
    <row r="204" spans="1:45" x14ac:dyDescent="0.25">
      <c r="A204" t="s">
        <v>479</v>
      </c>
      <c r="B204" t="s">
        <v>480</v>
      </c>
      <c r="C204" t="s">
        <v>93</v>
      </c>
      <c r="D204">
        <v>18.45</v>
      </c>
      <c r="E204" s="2">
        <f t="shared" si="32"/>
        <v>2773.2195000000002</v>
      </c>
      <c r="F204">
        <v>32.5</v>
      </c>
      <c r="G204" s="2">
        <f t="shared" si="33"/>
        <v>4885.0749999999998</v>
      </c>
      <c r="H204">
        <v>21.03</v>
      </c>
      <c r="I204" s="2">
        <f t="shared" si="34"/>
        <v>3161.0192999999999</v>
      </c>
      <c r="J204">
        <v>16.71</v>
      </c>
      <c r="K204" s="2">
        <f t="shared" si="35"/>
        <v>2511.6801</v>
      </c>
      <c r="L204">
        <v>8.76</v>
      </c>
      <c r="M204" s="2">
        <f t="shared" si="36"/>
        <v>1316.7156</v>
      </c>
      <c r="N204">
        <v>0.86</v>
      </c>
      <c r="O204" s="2">
        <f t="shared" si="37"/>
        <v>129.26660000000001</v>
      </c>
      <c r="P204">
        <v>1.1100000000000001</v>
      </c>
      <c r="Q204" s="2">
        <f t="shared" si="38"/>
        <v>166.8441</v>
      </c>
      <c r="R204">
        <v>0.57999999999999996</v>
      </c>
      <c r="S204" s="3">
        <f t="shared" si="39"/>
        <v>87.1798</v>
      </c>
      <c r="T204" t="s">
        <v>94</v>
      </c>
      <c r="U204" s="4">
        <f t="shared" si="40"/>
        <v>15031</v>
      </c>
      <c r="V204" s="4">
        <f t="shared" si="41"/>
        <v>0</v>
      </c>
      <c r="W204">
        <v>15031</v>
      </c>
      <c r="X204">
        <v>7323</v>
      </c>
      <c r="Y204">
        <v>7708</v>
      </c>
      <c r="Z204">
        <v>360</v>
      </c>
      <c r="AA204">
        <v>2081</v>
      </c>
      <c r="AB204">
        <v>2575</v>
      </c>
      <c r="AC204">
        <v>2038</v>
      </c>
      <c r="AD204">
        <v>2766</v>
      </c>
      <c r="AE204">
        <v>2419</v>
      </c>
      <c r="AF204">
        <v>1634</v>
      </c>
      <c r="AG204">
        <v>976</v>
      </c>
      <c r="AH204">
        <v>182</v>
      </c>
      <c r="AI204" s="5">
        <v>48.719313418934199</v>
      </c>
      <c r="AJ204" s="5">
        <v>51.280686581065801</v>
      </c>
      <c r="AK204" s="5">
        <v>2.3950502295256499</v>
      </c>
      <c r="AL204" s="5">
        <v>13.844720910119101</v>
      </c>
      <c r="AM204" s="5">
        <v>17.131262058412599</v>
      </c>
      <c r="AN204" s="5">
        <v>13.5586454660369</v>
      </c>
      <c r="AO204" s="5">
        <v>18.401969263522101</v>
      </c>
      <c r="AP204" s="5">
        <v>16.093406958951501</v>
      </c>
      <c r="AQ204" s="5">
        <v>10.870866875124699</v>
      </c>
      <c r="AR204" s="5">
        <v>6.4932472889361996</v>
      </c>
      <c r="AS204" s="5">
        <v>1.2108309493713001</v>
      </c>
    </row>
    <row r="205" spans="1:45" x14ac:dyDescent="0.25">
      <c r="A205" t="s">
        <v>481</v>
      </c>
      <c r="B205" t="s">
        <v>482</v>
      </c>
      <c r="C205" t="s">
        <v>93</v>
      </c>
      <c r="D205">
        <v>24.75</v>
      </c>
      <c r="E205" s="2">
        <f t="shared" si="32"/>
        <v>36194.647499999999</v>
      </c>
      <c r="F205">
        <v>24.58</v>
      </c>
      <c r="G205" s="2">
        <f t="shared" si="33"/>
        <v>35946.037799999998</v>
      </c>
      <c r="H205">
        <v>21.02</v>
      </c>
      <c r="I205" s="2">
        <f t="shared" si="34"/>
        <v>30739.858199999999</v>
      </c>
      <c r="J205">
        <v>16.46</v>
      </c>
      <c r="K205" s="2">
        <f t="shared" si="35"/>
        <v>24071.268600000003</v>
      </c>
      <c r="L205">
        <v>10.19</v>
      </c>
      <c r="M205" s="2">
        <f t="shared" si="36"/>
        <v>14901.957900000001</v>
      </c>
      <c r="N205">
        <v>1.25</v>
      </c>
      <c r="O205" s="2">
        <f t="shared" si="37"/>
        <v>1828.0125</v>
      </c>
      <c r="P205">
        <v>1.03</v>
      </c>
      <c r="Q205" s="2">
        <f t="shared" si="38"/>
        <v>1506.2823000000001</v>
      </c>
      <c r="R205">
        <v>0.71</v>
      </c>
      <c r="S205" s="3">
        <f t="shared" si="39"/>
        <v>1038.3110999999999</v>
      </c>
      <c r="T205" t="s">
        <v>94</v>
      </c>
      <c r="U205" s="4">
        <f t="shared" si="40"/>
        <v>146226.37589999998</v>
      </c>
      <c r="V205" s="4">
        <f t="shared" si="41"/>
        <v>-14.62410000001546</v>
      </c>
      <c r="W205">
        <v>146241</v>
      </c>
      <c r="X205">
        <v>76000</v>
      </c>
      <c r="Y205">
        <v>70241</v>
      </c>
      <c r="Z205">
        <v>4737</v>
      </c>
      <c r="AA205">
        <v>23214</v>
      </c>
      <c r="AB205">
        <v>27672</v>
      </c>
      <c r="AC205">
        <v>24880</v>
      </c>
      <c r="AD205">
        <v>24966</v>
      </c>
      <c r="AE205">
        <v>21018</v>
      </c>
      <c r="AF205">
        <v>12484</v>
      </c>
      <c r="AG205">
        <v>6037</v>
      </c>
      <c r="AH205">
        <v>1233</v>
      </c>
      <c r="AI205" s="5">
        <v>51.969010058738697</v>
      </c>
      <c r="AJ205" s="5">
        <v>48.030989941261303</v>
      </c>
      <c r="AK205" s="5">
        <v>3.2391736927400698</v>
      </c>
      <c r="AL205" s="5">
        <v>15.873797361888901</v>
      </c>
      <c r="AM205" s="5">
        <v>18.9221900834923</v>
      </c>
      <c r="AN205" s="5">
        <v>17.013012766597601</v>
      </c>
      <c r="AO205" s="5">
        <v>17.0718198042957</v>
      </c>
      <c r="AP205" s="5">
        <v>14.372166492297</v>
      </c>
      <c r="AQ205" s="5">
        <v>8.5365937049117608</v>
      </c>
      <c r="AR205" s="5">
        <v>4.1281172858500703</v>
      </c>
      <c r="AS205" s="5">
        <v>0.84312880792664202</v>
      </c>
    </row>
    <row r="206" spans="1:45" x14ac:dyDescent="0.25">
      <c r="A206" t="s">
        <v>483</v>
      </c>
      <c r="B206" t="s">
        <v>484</v>
      </c>
      <c r="C206" t="s">
        <v>141</v>
      </c>
      <c r="D206">
        <v>14.41</v>
      </c>
      <c r="E206" s="2">
        <f t="shared" si="32"/>
        <v>1035.0703000000001</v>
      </c>
      <c r="F206">
        <v>46.16</v>
      </c>
      <c r="G206" s="2">
        <f t="shared" si="33"/>
        <v>3315.6727999999998</v>
      </c>
      <c r="H206">
        <v>20.92</v>
      </c>
      <c r="I206" s="2">
        <f t="shared" si="34"/>
        <v>1502.6836000000001</v>
      </c>
      <c r="J206">
        <v>10.83</v>
      </c>
      <c r="K206" s="2">
        <f t="shared" si="35"/>
        <v>777.91890000000001</v>
      </c>
      <c r="L206">
        <v>5.6</v>
      </c>
      <c r="M206" s="2">
        <f t="shared" si="36"/>
        <v>402.24799999999993</v>
      </c>
      <c r="N206">
        <v>0.43</v>
      </c>
      <c r="O206" s="2">
        <f t="shared" si="37"/>
        <v>30.886900000000001</v>
      </c>
      <c r="P206">
        <v>1.26</v>
      </c>
      <c r="Q206" s="2">
        <f t="shared" si="38"/>
        <v>90.505799999999994</v>
      </c>
      <c r="R206">
        <v>0.39</v>
      </c>
      <c r="S206" s="3">
        <f t="shared" si="39"/>
        <v>28.0137</v>
      </c>
      <c r="T206" t="s">
        <v>142</v>
      </c>
      <c r="U206" s="4">
        <f t="shared" si="40"/>
        <v>7183.0000000000009</v>
      </c>
      <c r="V206" s="4">
        <f t="shared" si="41"/>
        <v>0</v>
      </c>
      <c r="W206">
        <v>7183</v>
      </c>
      <c r="X206">
        <v>3527</v>
      </c>
      <c r="Y206">
        <v>3656</v>
      </c>
      <c r="Z206">
        <v>202</v>
      </c>
      <c r="AA206">
        <v>1033</v>
      </c>
      <c r="AB206">
        <v>1258</v>
      </c>
      <c r="AC206">
        <v>1123</v>
      </c>
      <c r="AD206">
        <v>1319</v>
      </c>
      <c r="AE206">
        <v>1147</v>
      </c>
      <c r="AF206">
        <v>683</v>
      </c>
      <c r="AG206">
        <v>354</v>
      </c>
      <c r="AH206">
        <v>64</v>
      </c>
      <c r="AI206" s="5">
        <v>49.102046498677403</v>
      </c>
      <c r="AJ206" s="5">
        <v>50.897953501322597</v>
      </c>
      <c r="AK206" s="5">
        <v>2.81219546150633</v>
      </c>
      <c r="AL206" s="5">
        <v>14.3811777808715</v>
      </c>
      <c r="AM206" s="5">
        <v>17.513573715717701</v>
      </c>
      <c r="AN206" s="5">
        <v>15.634136154809999</v>
      </c>
      <c r="AO206" s="5">
        <v>18.362801058053702</v>
      </c>
      <c r="AP206" s="5">
        <v>15.9682583878602</v>
      </c>
      <c r="AQ206" s="5">
        <v>9.50856188222191</v>
      </c>
      <c r="AR206" s="5">
        <v>4.9283029374913001</v>
      </c>
      <c r="AS206" s="5">
        <v>0.89099262146735303</v>
      </c>
    </row>
    <row r="207" spans="1:45" x14ac:dyDescent="0.25">
      <c r="A207" t="s">
        <v>485</v>
      </c>
      <c r="B207" t="s">
        <v>486</v>
      </c>
      <c r="C207" t="s">
        <v>233</v>
      </c>
      <c r="D207">
        <v>34.19</v>
      </c>
      <c r="E207" s="2">
        <f t="shared" si="32"/>
        <v>39425.5147</v>
      </c>
      <c r="F207">
        <v>18.62</v>
      </c>
      <c r="G207" s="2">
        <f t="shared" si="33"/>
        <v>21471.280600000002</v>
      </c>
      <c r="H207">
        <v>20.82</v>
      </c>
      <c r="I207" s="2">
        <f t="shared" si="34"/>
        <v>24008.1666</v>
      </c>
      <c r="J207">
        <v>12.22</v>
      </c>
      <c r="K207" s="2">
        <f t="shared" si="35"/>
        <v>14091.248600000001</v>
      </c>
      <c r="L207">
        <v>10.32</v>
      </c>
      <c r="M207" s="2">
        <f t="shared" si="36"/>
        <v>11900.301600000001</v>
      </c>
      <c r="N207">
        <v>1.33</v>
      </c>
      <c r="O207" s="2">
        <f t="shared" si="37"/>
        <v>1533.6629</v>
      </c>
      <c r="P207">
        <v>1.67</v>
      </c>
      <c r="Q207" s="2">
        <f t="shared" si="38"/>
        <v>1925.7270999999998</v>
      </c>
      <c r="R207">
        <v>0.83</v>
      </c>
      <c r="S207" s="3">
        <f t="shared" si="39"/>
        <v>957.09789999999998</v>
      </c>
      <c r="T207" t="s">
        <v>234</v>
      </c>
      <c r="U207" s="4">
        <f t="shared" si="40"/>
        <v>115313</v>
      </c>
      <c r="V207" s="4">
        <f t="shared" si="41"/>
        <v>0</v>
      </c>
      <c r="W207">
        <v>115313</v>
      </c>
      <c r="X207">
        <v>58787</v>
      </c>
      <c r="Y207">
        <v>56526</v>
      </c>
      <c r="Z207">
        <v>4036</v>
      </c>
      <c r="AA207">
        <v>20555</v>
      </c>
      <c r="AB207">
        <v>22738</v>
      </c>
      <c r="AC207">
        <v>19894</v>
      </c>
      <c r="AD207">
        <v>18827</v>
      </c>
      <c r="AE207">
        <v>15026</v>
      </c>
      <c r="AF207">
        <v>9495</v>
      </c>
      <c r="AG207">
        <v>4067</v>
      </c>
      <c r="AH207">
        <v>675</v>
      </c>
      <c r="AI207" s="5">
        <v>50.9803751528449</v>
      </c>
      <c r="AJ207" s="5">
        <v>49.0196248471551</v>
      </c>
      <c r="AK207" s="5">
        <v>3.5000390242210302</v>
      </c>
      <c r="AL207" s="5">
        <v>17.825396963048401</v>
      </c>
      <c r="AM207" s="5">
        <v>19.718505285613901</v>
      </c>
      <c r="AN207" s="5">
        <v>17.252174516316501</v>
      </c>
      <c r="AO207" s="5">
        <v>16.326866875374002</v>
      </c>
      <c r="AP207" s="5">
        <v>13.0306210054374</v>
      </c>
      <c r="AQ207" s="5">
        <v>8.2341106380026492</v>
      </c>
      <c r="AR207" s="5">
        <v>3.5269223764883399</v>
      </c>
      <c r="AS207" s="5">
        <v>0.58536331549781895</v>
      </c>
    </row>
    <row r="208" spans="1:45" x14ac:dyDescent="0.25">
      <c r="A208" t="s">
        <v>487</v>
      </c>
      <c r="B208" t="s">
        <v>488</v>
      </c>
      <c r="C208" t="s">
        <v>233</v>
      </c>
      <c r="D208">
        <v>30.17</v>
      </c>
      <c r="E208" s="2">
        <f t="shared" si="32"/>
        <v>70297.005100000009</v>
      </c>
      <c r="F208">
        <v>22.6</v>
      </c>
      <c r="G208" s="2">
        <f t="shared" si="33"/>
        <v>52658.678000000007</v>
      </c>
      <c r="H208">
        <v>20.71</v>
      </c>
      <c r="I208" s="2">
        <f t="shared" si="34"/>
        <v>48254.921300000002</v>
      </c>
      <c r="J208">
        <v>12.62</v>
      </c>
      <c r="K208" s="2">
        <f t="shared" si="35"/>
        <v>29404.978599999999</v>
      </c>
      <c r="L208">
        <v>10.29</v>
      </c>
      <c r="M208" s="2">
        <f t="shared" si="36"/>
        <v>23976.008699999995</v>
      </c>
      <c r="N208">
        <v>1.34</v>
      </c>
      <c r="O208" s="2">
        <f t="shared" si="37"/>
        <v>3122.2402000000002</v>
      </c>
      <c r="P208">
        <v>1.55</v>
      </c>
      <c r="Q208" s="2">
        <f t="shared" si="38"/>
        <v>3611.5465000000004</v>
      </c>
      <c r="R208">
        <v>0.72</v>
      </c>
      <c r="S208" s="3">
        <f t="shared" si="39"/>
        <v>1677.6215999999999</v>
      </c>
      <c r="T208" t="s">
        <v>234</v>
      </c>
      <c r="U208" s="4">
        <f t="shared" si="40"/>
        <v>233003</v>
      </c>
      <c r="V208" s="4">
        <f t="shared" si="41"/>
        <v>0</v>
      </c>
      <c r="W208">
        <v>233003</v>
      </c>
      <c r="X208">
        <v>119309</v>
      </c>
      <c r="Y208">
        <v>113694</v>
      </c>
      <c r="Z208">
        <v>8768</v>
      </c>
      <c r="AA208">
        <v>43971</v>
      </c>
      <c r="AB208">
        <v>47772</v>
      </c>
      <c r="AC208">
        <v>39314</v>
      </c>
      <c r="AD208">
        <v>37968</v>
      </c>
      <c r="AE208">
        <v>30265</v>
      </c>
      <c r="AF208">
        <v>16838</v>
      </c>
      <c r="AG208">
        <v>6856</v>
      </c>
      <c r="AH208">
        <v>1251</v>
      </c>
      <c r="AI208" s="5">
        <v>51.204920108324799</v>
      </c>
      <c r="AJ208" s="5">
        <v>48.795079891675201</v>
      </c>
      <c r="AK208" s="5">
        <v>3.7630416775749702</v>
      </c>
      <c r="AL208" s="5">
        <v>18.871430839946299</v>
      </c>
      <c r="AM208" s="5">
        <v>20.502740308064698</v>
      </c>
      <c r="AN208" s="5">
        <v>16.872744127758001</v>
      </c>
      <c r="AO208" s="5">
        <v>16.295069162199599</v>
      </c>
      <c r="AP208" s="5">
        <v>12.989103144594701</v>
      </c>
      <c r="AQ208" s="5">
        <v>7.2265163967845902</v>
      </c>
      <c r="AR208" s="5">
        <v>2.94245138474612</v>
      </c>
      <c r="AS208" s="5">
        <v>0.53690295833100898</v>
      </c>
    </row>
    <row r="209" spans="1:45" x14ac:dyDescent="0.25">
      <c r="A209" t="s">
        <v>489</v>
      </c>
      <c r="B209" t="s">
        <v>490</v>
      </c>
      <c r="C209" t="s">
        <v>141</v>
      </c>
      <c r="D209">
        <v>16.64</v>
      </c>
      <c r="E209" s="2">
        <f t="shared" si="32"/>
        <v>1454.8352000000002</v>
      </c>
      <c r="F209">
        <v>46.19</v>
      </c>
      <c r="G209" s="2">
        <f t="shared" si="33"/>
        <v>4038.3916999999997</v>
      </c>
      <c r="H209">
        <v>20.69</v>
      </c>
      <c r="I209" s="2">
        <f t="shared" si="34"/>
        <v>1808.9267000000002</v>
      </c>
      <c r="J209">
        <v>9.94</v>
      </c>
      <c r="K209" s="2">
        <f t="shared" si="35"/>
        <v>869.05420000000004</v>
      </c>
      <c r="L209">
        <v>4.68</v>
      </c>
      <c r="M209" s="2">
        <f t="shared" si="36"/>
        <v>409.17239999999998</v>
      </c>
      <c r="N209">
        <v>0.33</v>
      </c>
      <c r="O209" s="2">
        <f t="shared" si="37"/>
        <v>28.851900000000001</v>
      </c>
      <c r="P209">
        <v>1.1000000000000001</v>
      </c>
      <c r="Q209" s="2">
        <f t="shared" si="38"/>
        <v>96.173000000000016</v>
      </c>
      <c r="R209">
        <v>0.44</v>
      </c>
      <c r="S209" s="3">
        <f t="shared" si="39"/>
        <v>38.469200000000001</v>
      </c>
      <c r="T209" t="s">
        <v>142</v>
      </c>
      <c r="U209" s="4">
        <f t="shared" si="40"/>
        <v>8743.8742999999995</v>
      </c>
      <c r="V209" s="4">
        <f t="shared" si="41"/>
        <v>0.87429999999949359</v>
      </c>
      <c r="W209">
        <v>8743</v>
      </c>
      <c r="X209">
        <v>4206</v>
      </c>
      <c r="Y209">
        <v>4537</v>
      </c>
      <c r="Z209">
        <v>304</v>
      </c>
      <c r="AA209">
        <v>1305</v>
      </c>
      <c r="AB209">
        <v>1472</v>
      </c>
      <c r="AC209">
        <v>1432</v>
      </c>
      <c r="AD209">
        <v>1631</v>
      </c>
      <c r="AE209">
        <v>1290</v>
      </c>
      <c r="AF209">
        <v>759</v>
      </c>
      <c r="AG209">
        <v>469</v>
      </c>
      <c r="AH209">
        <v>81</v>
      </c>
      <c r="AI209" s="5">
        <v>48.107057074230802</v>
      </c>
      <c r="AJ209" s="5">
        <v>51.892942925769198</v>
      </c>
      <c r="AK209" s="5">
        <v>3.47706736818026</v>
      </c>
      <c r="AL209" s="5">
        <v>14.9262266956422</v>
      </c>
      <c r="AM209" s="5">
        <v>16.8363262038202</v>
      </c>
      <c r="AN209" s="5">
        <v>16.378817339586</v>
      </c>
      <c r="AO209" s="5">
        <v>18.654923939151299</v>
      </c>
      <c r="AP209" s="5">
        <v>14.7546608715544</v>
      </c>
      <c r="AQ209" s="5">
        <v>8.6812306988447894</v>
      </c>
      <c r="AR209" s="5">
        <v>5.3642914331465201</v>
      </c>
      <c r="AS209" s="5">
        <v>0.92645545007434504</v>
      </c>
    </row>
    <row r="210" spans="1:45" x14ac:dyDescent="0.25">
      <c r="A210" t="s">
        <v>491</v>
      </c>
      <c r="B210" t="s">
        <v>492</v>
      </c>
      <c r="C210" t="s">
        <v>141</v>
      </c>
      <c r="D210">
        <v>19.760000000000002</v>
      </c>
      <c r="E210" s="2">
        <f t="shared" si="32"/>
        <v>4086.7631999999999</v>
      </c>
      <c r="F210">
        <v>34.090000000000003</v>
      </c>
      <c r="G210" s="2">
        <f t="shared" si="33"/>
        <v>7050.4938000000011</v>
      </c>
      <c r="H210">
        <v>20.63</v>
      </c>
      <c r="I210" s="2">
        <f t="shared" si="34"/>
        <v>4266.6965999999993</v>
      </c>
      <c r="J210">
        <v>14.91</v>
      </c>
      <c r="K210" s="2">
        <f t="shared" si="35"/>
        <v>3083.6862000000001</v>
      </c>
      <c r="L210">
        <v>8.48</v>
      </c>
      <c r="M210" s="2">
        <f t="shared" si="36"/>
        <v>1753.8336000000002</v>
      </c>
      <c r="N210">
        <v>0.77</v>
      </c>
      <c r="O210" s="2">
        <f t="shared" si="37"/>
        <v>159.25140000000002</v>
      </c>
      <c r="P210">
        <v>0.93</v>
      </c>
      <c r="Q210" s="2">
        <f t="shared" si="38"/>
        <v>192.34260000000003</v>
      </c>
      <c r="R210">
        <v>0.42</v>
      </c>
      <c r="S210" s="3">
        <f t="shared" si="39"/>
        <v>86.864400000000003</v>
      </c>
      <c r="T210" t="s">
        <v>142</v>
      </c>
      <c r="U210" s="4">
        <f t="shared" si="40"/>
        <v>20679.931800000002</v>
      </c>
      <c r="V210" s="4">
        <f t="shared" si="41"/>
        <v>-2.0681999999978871</v>
      </c>
      <c r="W210">
        <v>20682</v>
      </c>
      <c r="X210">
        <v>10259</v>
      </c>
      <c r="Y210">
        <v>10423</v>
      </c>
      <c r="Z210">
        <v>520</v>
      </c>
      <c r="AA210">
        <v>2626</v>
      </c>
      <c r="AB210">
        <v>3123</v>
      </c>
      <c r="AC210">
        <v>2852</v>
      </c>
      <c r="AD210">
        <v>3667</v>
      </c>
      <c r="AE210">
        <v>3343</v>
      </c>
      <c r="AF210">
        <v>2686</v>
      </c>
      <c r="AG210">
        <v>1623</v>
      </c>
      <c r="AH210">
        <v>242</v>
      </c>
      <c r="AI210" s="5">
        <v>49.603519969055199</v>
      </c>
      <c r="AJ210" s="5">
        <v>50.396480030944801</v>
      </c>
      <c r="AK210" s="5">
        <v>2.5142636108693499</v>
      </c>
      <c r="AL210" s="5">
        <v>12.697031234890201</v>
      </c>
      <c r="AM210" s="5">
        <v>15.1000870322019</v>
      </c>
      <c r="AN210" s="5">
        <v>13.7897688811527</v>
      </c>
      <c r="AO210" s="5">
        <v>17.7303935789575</v>
      </c>
      <c r="AP210" s="5">
        <v>16.163813944492802</v>
      </c>
      <c r="AQ210" s="5">
        <v>12.9871385746059</v>
      </c>
      <c r="AR210" s="5">
        <v>7.84740353930954</v>
      </c>
      <c r="AS210" s="5">
        <v>1.17009960351997</v>
      </c>
    </row>
    <row r="211" spans="1:45" x14ac:dyDescent="0.25">
      <c r="A211" t="s">
        <v>493</v>
      </c>
      <c r="B211" t="s">
        <v>494</v>
      </c>
      <c r="C211" t="s">
        <v>147</v>
      </c>
      <c r="D211">
        <v>18.84</v>
      </c>
      <c r="E211" s="2">
        <f t="shared" si="32"/>
        <v>2838.4344000000001</v>
      </c>
      <c r="F211">
        <v>32.93</v>
      </c>
      <c r="G211" s="2">
        <f t="shared" si="33"/>
        <v>4961.2338</v>
      </c>
      <c r="H211">
        <v>20.61</v>
      </c>
      <c r="I211" s="2">
        <f t="shared" si="34"/>
        <v>3105.1026000000002</v>
      </c>
      <c r="J211">
        <v>14.44</v>
      </c>
      <c r="K211" s="2">
        <f t="shared" si="35"/>
        <v>2175.5303999999996</v>
      </c>
      <c r="L211">
        <v>10.36</v>
      </c>
      <c r="M211" s="2">
        <f t="shared" si="36"/>
        <v>1560.8375999999998</v>
      </c>
      <c r="N211">
        <v>1.01</v>
      </c>
      <c r="O211" s="2">
        <f t="shared" si="37"/>
        <v>152.16659999999999</v>
      </c>
      <c r="P211">
        <v>1.37</v>
      </c>
      <c r="Q211" s="2">
        <f t="shared" si="38"/>
        <v>206.40420000000003</v>
      </c>
      <c r="R211">
        <v>0.44</v>
      </c>
      <c r="S211" s="3">
        <f t="shared" si="39"/>
        <v>66.290400000000005</v>
      </c>
      <c r="T211" t="s">
        <v>148</v>
      </c>
      <c r="U211" s="4">
        <f t="shared" si="40"/>
        <v>15066</v>
      </c>
      <c r="V211" s="4">
        <f t="shared" si="41"/>
        <v>0</v>
      </c>
      <c r="W211">
        <v>15066</v>
      </c>
      <c r="X211">
        <v>7594</v>
      </c>
      <c r="Y211">
        <v>7472</v>
      </c>
      <c r="Z211">
        <v>464</v>
      </c>
      <c r="AA211">
        <v>2239</v>
      </c>
      <c r="AB211">
        <v>2793</v>
      </c>
      <c r="AC211">
        <v>2622</v>
      </c>
      <c r="AD211">
        <v>2730</v>
      </c>
      <c r="AE211">
        <v>2280</v>
      </c>
      <c r="AF211">
        <v>1326</v>
      </c>
      <c r="AG211">
        <v>515</v>
      </c>
      <c r="AH211">
        <v>97</v>
      </c>
      <c r="AI211" s="5">
        <v>50.404885171910301</v>
      </c>
      <c r="AJ211" s="5">
        <v>49.595114828089699</v>
      </c>
      <c r="AK211" s="5">
        <v>3.07978229125183</v>
      </c>
      <c r="AL211" s="5">
        <v>14.861277047657</v>
      </c>
      <c r="AM211" s="5">
        <v>18.538430904022299</v>
      </c>
      <c r="AN211" s="5">
        <v>17.403424930306699</v>
      </c>
      <c r="AO211" s="5">
        <v>18.1202708084429</v>
      </c>
      <c r="AP211" s="5">
        <v>15.133412982875299</v>
      </c>
      <c r="AQ211" s="5">
        <v>8.8012743926722408</v>
      </c>
      <c r="AR211" s="5">
        <v>3.4182928448161398</v>
      </c>
      <c r="AS211" s="5">
        <v>0.64383379795566198</v>
      </c>
    </row>
    <row r="212" spans="1:45" x14ac:dyDescent="0.25">
      <c r="A212" t="s">
        <v>495</v>
      </c>
      <c r="B212" t="s">
        <v>496</v>
      </c>
      <c r="C212" t="s">
        <v>93</v>
      </c>
      <c r="D212">
        <v>21.78</v>
      </c>
      <c r="E212" s="2">
        <f t="shared" si="32"/>
        <v>46511.625600000007</v>
      </c>
      <c r="F212">
        <v>26.81</v>
      </c>
      <c r="G212" s="2">
        <f t="shared" si="33"/>
        <v>57253.2912</v>
      </c>
      <c r="H212">
        <v>20.61</v>
      </c>
      <c r="I212" s="2">
        <f t="shared" si="34"/>
        <v>44013.067199999998</v>
      </c>
      <c r="J212">
        <v>16.260000000000002</v>
      </c>
      <c r="K212" s="2">
        <f t="shared" si="35"/>
        <v>34723.555200000003</v>
      </c>
      <c r="L212">
        <v>11.51</v>
      </c>
      <c r="M212" s="2">
        <f t="shared" si="36"/>
        <v>24579.835200000001</v>
      </c>
      <c r="N212">
        <v>1.3</v>
      </c>
      <c r="O212" s="2">
        <f t="shared" si="37"/>
        <v>2776.1760000000004</v>
      </c>
      <c r="P212">
        <v>1.04</v>
      </c>
      <c r="Q212" s="2">
        <f t="shared" si="38"/>
        <v>2220.9408000000003</v>
      </c>
      <c r="R212">
        <v>0.69</v>
      </c>
      <c r="S212" s="3">
        <f t="shared" si="39"/>
        <v>1473.5087999999998</v>
      </c>
      <c r="T212" t="s">
        <v>94</v>
      </c>
      <c r="U212" s="4">
        <f t="shared" si="40"/>
        <v>213552</v>
      </c>
      <c r="V212" s="4">
        <f t="shared" si="41"/>
        <v>0</v>
      </c>
      <c r="W212">
        <v>213552</v>
      </c>
      <c r="X212">
        <v>109158</v>
      </c>
      <c r="Y212">
        <v>104394</v>
      </c>
      <c r="Z212">
        <v>7542</v>
      </c>
      <c r="AA212">
        <v>37786</v>
      </c>
      <c r="AB212">
        <v>44682</v>
      </c>
      <c r="AC212">
        <v>38463</v>
      </c>
      <c r="AD212">
        <v>35897</v>
      </c>
      <c r="AE212">
        <v>27050</v>
      </c>
      <c r="AF212">
        <v>14592</v>
      </c>
      <c r="AG212">
        <v>6341</v>
      </c>
      <c r="AH212">
        <v>1199</v>
      </c>
      <c r="AI212" s="5">
        <v>51.115419195324797</v>
      </c>
      <c r="AJ212" s="5">
        <v>48.884580804675203</v>
      </c>
      <c r="AK212" s="5">
        <v>3.53169251517195</v>
      </c>
      <c r="AL212" s="5">
        <v>17.6940510976249</v>
      </c>
      <c r="AM212" s="5">
        <v>20.9232411777928</v>
      </c>
      <c r="AN212" s="5">
        <v>18.0110699033491</v>
      </c>
      <c r="AO212" s="5">
        <v>16.8094890237507</v>
      </c>
      <c r="AP212" s="5">
        <v>12.666704128268499</v>
      </c>
      <c r="AQ212" s="5">
        <v>6.83299617891661</v>
      </c>
      <c r="AR212" s="5">
        <v>2.96930021727729</v>
      </c>
      <c r="AS212" s="5">
        <v>0.56145575784820601</v>
      </c>
    </row>
    <row r="213" spans="1:45" x14ac:dyDescent="0.25">
      <c r="A213" t="s">
        <v>497</v>
      </c>
      <c r="B213" t="s">
        <v>498</v>
      </c>
      <c r="C213" t="s">
        <v>113</v>
      </c>
      <c r="D213">
        <v>26.31</v>
      </c>
      <c r="E213" s="2">
        <f t="shared" si="32"/>
        <v>11618.232900000001</v>
      </c>
      <c r="F213">
        <v>22</v>
      </c>
      <c r="G213" s="2">
        <f t="shared" si="33"/>
        <v>9714.98</v>
      </c>
      <c r="H213">
        <v>20.6</v>
      </c>
      <c r="I213" s="2">
        <f t="shared" si="34"/>
        <v>9096.7540000000008</v>
      </c>
      <c r="J213">
        <v>17.14</v>
      </c>
      <c r="K213" s="2">
        <f t="shared" si="35"/>
        <v>7568.8526000000002</v>
      </c>
      <c r="L213">
        <v>10.97</v>
      </c>
      <c r="M213" s="2">
        <f t="shared" si="36"/>
        <v>4844.2423000000008</v>
      </c>
      <c r="N213">
        <v>1.21</v>
      </c>
      <c r="O213" s="2">
        <f t="shared" si="37"/>
        <v>534.32389999999998</v>
      </c>
      <c r="P213">
        <v>1.21</v>
      </c>
      <c r="Q213" s="2">
        <f t="shared" si="38"/>
        <v>534.32389999999998</v>
      </c>
      <c r="R213">
        <v>0.56000000000000005</v>
      </c>
      <c r="S213" s="3">
        <f t="shared" si="39"/>
        <v>247.29040000000001</v>
      </c>
      <c r="T213" t="s">
        <v>114</v>
      </c>
      <c r="U213" s="4">
        <f t="shared" si="40"/>
        <v>44159</v>
      </c>
      <c r="V213" s="4">
        <f t="shared" si="41"/>
        <v>0</v>
      </c>
      <c r="W213">
        <v>44159</v>
      </c>
      <c r="X213">
        <v>22777</v>
      </c>
      <c r="Y213">
        <v>21382</v>
      </c>
      <c r="Z213">
        <v>1373</v>
      </c>
      <c r="AA213">
        <v>6826</v>
      </c>
      <c r="AB213">
        <v>8325</v>
      </c>
      <c r="AC213">
        <v>7608</v>
      </c>
      <c r="AD213">
        <v>7175</v>
      </c>
      <c r="AE213">
        <v>6451</v>
      </c>
      <c r="AF213">
        <v>4042</v>
      </c>
      <c r="AG213">
        <v>1973</v>
      </c>
      <c r="AH213">
        <v>386</v>
      </c>
      <c r="AI213" s="5">
        <v>51.579519463756</v>
      </c>
      <c r="AJ213" s="5">
        <v>48.420480536244</v>
      </c>
      <c r="AK213" s="5">
        <v>3.10921895876265</v>
      </c>
      <c r="AL213" s="5">
        <v>15.457777576485</v>
      </c>
      <c r="AM213" s="5">
        <v>18.852329083539001</v>
      </c>
      <c r="AN213" s="5">
        <v>17.228651011118899</v>
      </c>
      <c r="AO213" s="5">
        <v>16.248103444371498</v>
      </c>
      <c r="AP213" s="5">
        <v>14.6085735637129</v>
      </c>
      <c r="AQ213" s="5">
        <v>9.1532869856654404</v>
      </c>
      <c r="AR213" s="5">
        <v>4.4679453791979</v>
      </c>
      <c r="AS213" s="5">
        <v>0.87411399714667504</v>
      </c>
    </row>
    <row r="214" spans="1:45" x14ac:dyDescent="0.25">
      <c r="A214" t="s">
        <v>499</v>
      </c>
      <c r="B214" t="s">
        <v>500</v>
      </c>
      <c r="C214" t="s">
        <v>141</v>
      </c>
      <c r="D214">
        <v>19.98</v>
      </c>
      <c r="E214" s="2">
        <f t="shared" si="32"/>
        <v>4799.7954</v>
      </c>
      <c r="F214">
        <v>37.07</v>
      </c>
      <c r="G214" s="2">
        <f t="shared" si="33"/>
        <v>8905.3261000000002</v>
      </c>
      <c r="H214">
        <v>20.6</v>
      </c>
      <c r="I214" s="2">
        <f t="shared" si="34"/>
        <v>4948.7380000000003</v>
      </c>
      <c r="J214">
        <v>11.9</v>
      </c>
      <c r="K214" s="2">
        <f t="shared" si="35"/>
        <v>2858.7370000000001</v>
      </c>
      <c r="L214">
        <v>7.99</v>
      </c>
      <c r="M214" s="2">
        <f t="shared" si="36"/>
        <v>1919.4377000000002</v>
      </c>
      <c r="N214">
        <v>0.6</v>
      </c>
      <c r="O214" s="2">
        <f t="shared" si="37"/>
        <v>144.13800000000001</v>
      </c>
      <c r="P214">
        <v>1.29</v>
      </c>
      <c r="Q214" s="2">
        <f t="shared" si="38"/>
        <v>309.89670000000001</v>
      </c>
      <c r="R214">
        <v>0.56999999999999995</v>
      </c>
      <c r="S214" s="3">
        <f t="shared" si="39"/>
        <v>136.93109999999999</v>
      </c>
      <c r="T214" t="s">
        <v>142</v>
      </c>
      <c r="U214" s="4">
        <f t="shared" si="40"/>
        <v>24023</v>
      </c>
      <c r="V214" s="4">
        <f t="shared" si="41"/>
        <v>0</v>
      </c>
      <c r="W214">
        <v>24023</v>
      </c>
      <c r="X214">
        <v>11992</v>
      </c>
      <c r="Y214">
        <v>12031</v>
      </c>
      <c r="Z214">
        <v>771</v>
      </c>
      <c r="AA214">
        <v>3493</v>
      </c>
      <c r="AB214">
        <v>4061</v>
      </c>
      <c r="AC214">
        <v>3732</v>
      </c>
      <c r="AD214">
        <v>4261</v>
      </c>
      <c r="AE214">
        <v>3679</v>
      </c>
      <c r="AF214">
        <v>2427</v>
      </c>
      <c r="AG214">
        <v>1330</v>
      </c>
      <c r="AH214">
        <v>269</v>
      </c>
      <c r="AI214" s="5">
        <v>49.918827790034499</v>
      </c>
      <c r="AJ214" s="5">
        <v>50.081172209965501</v>
      </c>
      <c r="AK214" s="5">
        <v>3.2094243017108601</v>
      </c>
      <c r="AL214" s="5">
        <v>14.540232277400801</v>
      </c>
      <c r="AM214" s="5">
        <v>16.904633059984199</v>
      </c>
      <c r="AN214" s="5">
        <v>15.5351121841568</v>
      </c>
      <c r="AO214" s="5">
        <v>17.737168546809301</v>
      </c>
      <c r="AP214" s="5">
        <v>15.314490280148201</v>
      </c>
      <c r="AQ214" s="5">
        <v>10.1028181326229</v>
      </c>
      <c r="AR214" s="5">
        <v>5.5363609873870896</v>
      </c>
      <c r="AS214" s="5">
        <v>1.11976022977979</v>
      </c>
    </row>
    <row r="215" spans="1:45" x14ac:dyDescent="0.25">
      <c r="A215" t="s">
        <v>501</v>
      </c>
      <c r="B215" t="s">
        <v>502</v>
      </c>
      <c r="C215" t="s">
        <v>217</v>
      </c>
      <c r="D215">
        <v>25.79</v>
      </c>
      <c r="E215" s="2">
        <f t="shared" si="32"/>
        <v>16851.443899999998</v>
      </c>
      <c r="F215">
        <v>24.99</v>
      </c>
      <c r="G215" s="2">
        <f t="shared" si="33"/>
        <v>16328.715899999999</v>
      </c>
      <c r="H215">
        <v>20.56</v>
      </c>
      <c r="I215" s="2">
        <f t="shared" si="34"/>
        <v>13434.1096</v>
      </c>
      <c r="J215">
        <v>14.28</v>
      </c>
      <c r="K215" s="2">
        <f t="shared" si="35"/>
        <v>9330.6947999999993</v>
      </c>
      <c r="L215">
        <v>11.47</v>
      </c>
      <c r="M215" s="2">
        <f t="shared" si="36"/>
        <v>7494.6127000000006</v>
      </c>
      <c r="N215">
        <v>1.17</v>
      </c>
      <c r="O215" s="2">
        <f t="shared" si="37"/>
        <v>764.48969999999997</v>
      </c>
      <c r="P215">
        <v>1.22</v>
      </c>
      <c r="Q215" s="2">
        <f t="shared" si="38"/>
        <v>797.16020000000003</v>
      </c>
      <c r="R215">
        <v>0.53</v>
      </c>
      <c r="S215" s="3">
        <f t="shared" si="39"/>
        <v>346.30730000000005</v>
      </c>
      <c r="T215" t="s">
        <v>218</v>
      </c>
      <c r="U215" s="4">
        <f t="shared" si="40"/>
        <v>65347.534099999997</v>
      </c>
      <c r="V215" s="4">
        <f t="shared" si="41"/>
        <v>6.5340999999971245</v>
      </c>
      <c r="W215">
        <v>65341</v>
      </c>
      <c r="X215">
        <v>33569</v>
      </c>
      <c r="Y215">
        <v>31772</v>
      </c>
      <c r="Z215">
        <v>2117</v>
      </c>
      <c r="AA215">
        <v>10549</v>
      </c>
      <c r="AB215">
        <v>12672</v>
      </c>
      <c r="AC215">
        <v>11015</v>
      </c>
      <c r="AD215">
        <v>10779</v>
      </c>
      <c r="AE215">
        <v>9560</v>
      </c>
      <c r="AF215">
        <v>5701</v>
      </c>
      <c r="AG215">
        <v>2485</v>
      </c>
      <c r="AH215">
        <v>463</v>
      </c>
      <c r="AI215" s="5">
        <v>51.375093739</v>
      </c>
      <c r="AJ215" s="5">
        <v>48.624906261</v>
      </c>
      <c r="AK215" s="5">
        <v>3.2399259270595802</v>
      </c>
      <c r="AL215" s="5">
        <v>16.144534059778699</v>
      </c>
      <c r="AM215" s="5">
        <v>19.393642582758101</v>
      </c>
      <c r="AN215" s="5">
        <v>16.857715676221702</v>
      </c>
      <c r="AO215" s="5">
        <v>16.496533570040199</v>
      </c>
      <c r="AP215" s="5">
        <v>14.630936165653999</v>
      </c>
      <c r="AQ215" s="5">
        <v>8.7249965565265306</v>
      </c>
      <c r="AR215" s="5">
        <v>3.8031251434780602</v>
      </c>
      <c r="AS215" s="5">
        <v>0.708590318483035</v>
      </c>
    </row>
    <row r="216" spans="1:45" x14ac:dyDescent="0.25">
      <c r="A216" t="s">
        <v>503</v>
      </c>
      <c r="B216" t="s">
        <v>504</v>
      </c>
      <c r="C216" t="s">
        <v>147</v>
      </c>
      <c r="D216">
        <v>20.059999999999999</v>
      </c>
      <c r="E216" s="2">
        <f t="shared" si="32"/>
        <v>1672.6027999999999</v>
      </c>
      <c r="F216">
        <v>32.67</v>
      </c>
      <c r="G216" s="2">
        <f t="shared" si="33"/>
        <v>2724.0246000000002</v>
      </c>
      <c r="H216">
        <v>20.56</v>
      </c>
      <c r="I216" s="2">
        <f t="shared" si="34"/>
        <v>1714.2927999999999</v>
      </c>
      <c r="J216">
        <v>16.46</v>
      </c>
      <c r="K216" s="2">
        <f t="shared" si="35"/>
        <v>1372.4348</v>
      </c>
      <c r="L216">
        <v>8.59</v>
      </c>
      <c r="M216" s="2">
        <f t="shared" si="36"/>
        <v>716.23419999999999</v>
      </c>
      <c r="N216">
        <v>0.57999999999999996</v>
      </c>
      <c r="O216" s="2">
        <f t="shared" si="37"/>
        <v>48.360399999999998</v>
      </c>
      <c r="P216">
        <v>0.75</v>
      </c>
      <c r="Q216" s="2">
        <f t="shared" si="38"/>
        <v>62.534999999999997</v>
      </c>
      <c r="R216">
        <v>0.33</v>
      </c>
      <c r="S216" s="3">
        <f t="shared" si="39"/>
        <v>27.5154</v>
      </c>
      <c r="T216" t="s">
        <v>148</v>
      </c>
      <c r="U216" s="4">
        <f t="shared" si="40"/>
        <v>8338</v>
      </c>
      <c r="V216" s="4">
        <f t="shared" si="41"/>
        <v>0</v>
      </c>
      <c r="W216">
        <v>8338</v>
      </c>
      <c r="X216">
        <v>4214</v>
      </c>
      <c r="Y216">
        <v>4124</v>
      </c>
      <c r="Z216">
        <v>209</v>
      </c>
      <c r="AA216">
        <v>1051</v>
      </c>
      <c r="AB216">
        <v>1536</v>
      </c>
      <c r="AC216">
        <v>1396</v>
      </c>
      <c r="AD216">
        <v>1367</v>
      </c>
      <c r="AE216">
        <v>1320</v>
      </c>
      <c r="AF216">
        <v>941</v>
      </c>
      <c r="AG216">
        <v>432</v>
      </c>
      <c r="AH216">
        <v>86</v>
      </c>
      <c r="AI216" s="5">
        <v>50.539697769249202</v>
      </c>
      <c r="AJ216" s="5">
        <v>49.460302230750798</v>
      </c>
      <c r="AK216" s="5">
        <v>2.5065963060685998</v>
      </c>
      <c r="AL216" s="5">
        <v>12.604941232909599</v>
      </c>
      <c r="AM216" s="5">
        <v>18.421683857040101</v>
      </c>
      <c r="AN216" s="5">
        <v>16.742624130486899</v>
      </c>
      <c r="AO216" s="5">
        <v>16.394818901415199</v>
      </c>
      <c r="AP216" s="5">
        <v>15.831134564643801</v>
      </c>
      <c r="AQ216" s="5">
        <v>11.2856800191893</v>
      </c>
      <c r="AR216" s="5">
        <v>5.1810985847925197</v>
      </c>
      <c r="AS216" s="5">
        <v>1.03142240345407</v>
      </c>
    </row>
    <row r="217" spans="1:45" x14ac:dyDescent="0.25">
      <c r="A217" t="s">
        <v>505</v>
      </c>
      <c r="B217" t="s">
        <v>506</v>
      </c>
      <c r="C217" t="s">
        <v>93</v>
      </c>
      <c r="D217">
        <v>21.02</v>
      </c>
      <c r="E217" s="2">
        <f t="shared" si="32"/>
        <v>2638.4303999999997</v>
      </c>
      <c r="F217">
        <v>30.43</v>
      </c>
      <c r="G217" s="2">
        <f t="shared" si="33"/>
        <v>3819.5735999999997</v>
      </c>
      <c r="H217">
        <v>20.48</v>
      </c>
      <c r="I217" s="2">
        <f t="shared" si="34"/>
        <v>2570.6495999999997</v>
      </c>
      <c r="J217">
        <v>18.8</v>
      </c>
      <c r="K217" s="2">
        <f t="shared" si="35"/>
        <v>2359.7759999999998</v>
      </c>
      <c r="L217">
        <v>6.97</v>
      </c>
      <c r="M217" s="2">
        <f t="shared" si="36"/>
        <v>874.87440000000004</v>
      </c>
      <c r="N217">
        <v>0.66</v>
      </c>
      <c r="O217" s="2">
        <f t="shared" si="37"/>
        <v>82.843199999999996</v>
      </c>
      <c r="P217">
        <v>1.17</v>
      </c>
      <c r="Q217" s="2">
        <f t="shared" si="38"/>
        <v>146.85839999999999</v>
      </c>
      <c r="R217">
        <v>0.47</v>
      </c>
      <c r="S217" s="3">
        <f t="shared" si="39"/>
        <v>58.994399999999999</v>
      </c>
      <c r="T217" t="s">
        <v>94</v>
      </c>
      <c r="U217" s="4">
        <f t="shared" si="40"/>
        <v>12551.999999999998</v>
      </c>
      <c r="V217" s="4">
        <f t="shared" si="41"/>
        <v>0</v>
      </c>
      <c r="W217">
        <v>12552</v>
      </c>
      <c r="X217">
        <v>6181</v>
      </c>
      <c r="Y217">
        <v>6371</v>
      </c>
      <c r="Z217">
        <v>362</v>
      </c>
      <c r="AA217">
        <v>1816</v>
      </c>
      <c r="AB217">
        <v>2146</v>
      </c>
      <c r="AC217">
        <v>1778</v>
      </c>
      <c r="AD217">
        <v>2388</v>
      </c>
      <c r="AE217">
        <v>2087</v>
      </c>
      <c r="AF217">
        <v>1238</v>
      </c>
      <c r="AG217">
        <v>621</v>
      </c>
      <c r="AH217">
        <v>116</v>
      </c>
      <c r="AI217" s="5">
        <v>49.243148502230703</v>
      </c>
      <c r="AJ217" s="5">
        <v>50.756851497769297</v>
      </c>
      <c r="AK217" s="5">
        <v>2.8840025493945198</v>
      </c>
      <c r="AL217" s="5">
        <v>14.4678138942001</v>
      </c>
      <c r="AM217" s="5">
        <v>17.096876991714499</v>
      </c>
      <c r="AN217" s="5">
        <v>14.1650732950924</v>
      </c>
      <c r="AO217" s="5">
        <v>19.024856596558301</v>
      </c>
      <c r="AP217" s="5">
        <v>16.6268323773104</v>
      </c>
      <c r="AQ217" s="5">
        <v>9.8629700446144</v>
      </c>
      <c r="AR217" s="5">
        <v>4.9474187380497101</v>
      </c>
      <c r="AS217" s="5">
        <v>0.92415551306564703</v>
      </c>
    </row>
    <row r="218" spans="1:45" x14ac:dyDescent="0.25">
      <c r="A218" t="s">
        <v>507</v>
      </c>
      <c r="B218" t="s">
        <v>508</v>
      </c>
      <c r="C218" t="s">
        <v>141</v>
      </c>
      <c r="D218">
        <v>17.04</v>
      </c>
      <c r="E218" s="2">
        <f t="shared" si="32"/>
        <v>1774.7159999999997</v>
      </c>
      <c r="F218">
        <v>32.26</v>
      </c>
      <c r="G218" s="2">
        <f t="shared" si="33"/>
        <v>3359.8789999999995</v>
      </c>
      <c r="H218">
        <v>20.46</v>
      </c>
      <c r="I218" s="2">
        <f t="shared" si="34"/>
        <v>2130.9090000000001</v>
      </c>
      <c r="J218">
        <v>16.989999999999998</v>
      </c>
      <c r="K218" s="2">
        <f t="shared" si="35"/>
        <v>1769.5084999999997</v>
      </c>
      <c r="L218">
        <v>10.61</v>
      </c>
      <c r="M218" s="2">
        <f t="shared" si="36"/>
        <v>1105.0315000000001</v>
      </c>
      <c r="N218">
        <v>0.68</v>
      </c>
      <c r="O218" s="2">
        <f t="shared" si="37"/>
        <v>70.822000000000003</v>
      </c>
      <c r="P218">
        <v>1.36</v>
      </c>
      <c r="Q218" s="2">
        <f t="shared" si="38"/>
        <v>141.64400000000001</v>
      </c>
      <c r="R218">
        <v>0.59</v>
      </c>
      <c r="S218" s="3">
        <f t="shared" si="39"/>
        <v>61.448499999999996</v>
      </c>
      <c r="T218" t="s">
        <v>142</v>
      </c>
      <c r="U218" s="4">
        <f t="shared" si="40"/>
        <v>10413.958499999999</v>
      </c>
      <c r="V218" s="4">
        <f t="shared" si="41"/>
        <v>-1.0415000000011787</v>
      </c>
      <c r="W218">
        <v>10415</v>
      </c>
      <c r="X218">
        <v>5100</v>
      </c>
      <c r="Y218">
        <v>5315</v>
      </c>
      <c r="Z218">
        <v>316</v>
      </c>
      <c r="AA218">
        <v>1472</v>
      </c>
      <c r="AB218">
        <v>1614</v>
      </c>
      <c r="AC218">
        <v>1450</v>
      </c>
      <c r="AD218">
        <v>1901</v>
      </c>
      <c r="AE218">
        <v>1767</v>
      </c>
      <c r="AF218">
        <v>1127</v>
      </c>
      <c r="AG218">
        <v>660</v>
      </c>
      <c r="AH218">
        <v>108</v>
      </c>
      <c r="AI218" s="5">
        <v>48.967834853576598</v>
      </c>
      <c r="AJ218" s="5">
        <v>51.032165146423402</v>
      </c>
      <c r="AK218" s="5">
        <v>3.0340854536725899</v>
      </c>
      <c r="AL218" s="5">
        <v>14.1334613538166</v>
      </c>
      <c r="AM218" s="5">
        <v>15.4968795007201</v>
      </c>
      <c r="AN218" s="5">
        <v>13.922227556409</v>
      </c>
      <c r="AO218" s="5">
        <v>18.252520403264501</v>
      </c>
      <c r="AP218" s="5">
        <v>16.965914546327401</v>
      </c>
      <c r="AQ218" s="5">
        <v>10.820931349015799</v>
      </c>
      <c r="AR218" s="5">
        <v>6.3370139222275599</v>
      </c>
      <c r="AS218" s="5">
        <v>1.0369659145463299</v>
      </c>
    </row>
    <row r="219" spans="1:45" x14ac:dyDescent="0.25">
      <c r="A219" t="s">
        <v>509</v>
      </c>
      <c r="B219" t="s">
        <v>510</v>
      </c>
      <c r="C219" t="s">
        <v>233</v>
      </c>
      <c r="D219">
        <v>29.62</v>
      </c>
      <c r="E219" s="2">
        <f t="shared" si="32"/>
        <v>17018.467199999999</v>
      </c>
      <c r="F219">
        <v>21.92</v>
      </c>
      <c r="G219" s="2">
        <f t="shared" si="33"/>
        <v>12594.3552</v>
      </c>
      <c r="H219">
        <v>20.45</v>
      </c>
      <c r="I219" s="2">
        <f t="shared" si="34"/>
        <v>11749.752</v>
      </c>
      <c r="J219">
        <v>13.32</v>
      </c>
      <c r="K219" s="2">
        <f t="shared" si="35"/>
        <v>7653.1392000000005</v>
      </c>
      <c r="L219">
        <v>11.15</v>
      </c>
      <c r="M219" s="2">
        <f t="shared" si="36"/>
        <v>6406.3440000000001</v>
      </c>
      <c r="N219">
        <v>1.37</v>
      </c>
      <c r="O219" s="2">
        <f t="shared" si="37"/>
        <v>787.1472</v>
      </c>
      <c r="P219">
        <v>1.46</v>
      </c>
      <c r="Q219" s="2">
        <f t="shared" si="38"/>
        <v>838.85759999999993</v>
      </c>
      <c r="R219">
        <v>0.72</v>
      </c>
      <c r="S219" s="3">
        <f t="shared" si="39"/>
        <v>413.6832</v>
      </c>
      <c r="T219" t="s">
        <v>234</v>
      </c>
      <c r="U219" s="4">
        <f t="shared" si="40"/>
        <v>57461.745600000002</v>
      </c>
      <c r="V219" s="4">
        <f t="shared" si="41"/>
        <v>5.745600000002014</v>
      </c>
      <c r="W219">
        <v>57456</v>
      </c>
      <c r="X219">
        <v>29757</v>
      </c>
      <c r="Y219">
        <v>27699</v>
      </c>
      <c r="Z219">
        <v>1948</v>
      </c>
      <c r="AA219">
        <v>9887</v>
      </c>
      <c r="AB219">
        <v>13759</v>
      </c>
      <c r="AC219">
        <v>10787</v>
      </c>
      <c r="AD219">
        <v>8829</v>
      </c>
      <c r="AE219">
        <v>6821</v>
      </c>
      <c r="AF219">
        <v>3682</v>
      </c>
      <c r="AG219">
        <v>1468</v>
      </c>
      <c r="AH219">
        <v>275</v>
      </c>
      <c r="AI219" s="5">
        <v>51.7909356725146</v>
      </c>
      <c r="AJ219" s="5">
        <v>48.2090643274854</v>
      </c>
      <c r="AK219" s="5">
        <v>3.3904204956836499</v>
      </c>
      <c r="AL219" s="5">
        <v>17.2079504316346</v>
      </c>
      <c r="AM219" s="5">
        <v>23.947020328599301</v>
      </c>
      <c r="AN219" s="5">
        <v>18.774366471734901</v>
      </c>
      <c r="AO219" s="5">
        <v>15.3665413533835</v>
      </c>
      <c r="AP219" s="5">
        <v>11.871693121693101</v>
      </c>
      <c r="AQ219" s="5">
        <v>6.4083820662767996</v>
      </c>
      <c r="AR219" s="5">
        <v>2.55499860763019</v>
      </c>
      <c r="AS219" s="5">
        <v>0.47862712336396501</v>
      </c>
    </row>
    <row r="220" spans="1:45" x14ac:dyDescent="0.25">
      <c r="A220" t="s">
        <v>511</v>
      </c>
      <c r="B220" t="s">
        <v>512</v>
      </c>
      <c r="C220" t="s">
        <v>233</v>
      </c>
      <c r="D220">
        <v>33.75</v>
      </c>
      <c r="E220" s="2">
        <f t="shared" si="32"/>
        <v>36611.662499999999</v>
      </c>
      <c r="F220">
        <v>19.739999999999998</v>
      </c>
      <c r="G220" s="2">
        <f t="shared" si="33"/>
        <v>21413.7546</v>
      </c>
      <c r="H220">
        <v>20.34</v>
      </c>
      <c r="I220" s="2">
        <f t="shared" si="34"/>
        <v>22064.6286</v>
      </c>
      <c r="J220">
        <v>12.3</v>
      </c>
      <c r="K220" s="2">
        <f t="shared" si="35"/>
        <v>13342.917000000001</v>
      </c>
      <c r="L220">
        <v>10.130000000000001</v>
      </c>
      <c r="M220" s="2">
        <f t="shared" si="36"/>
        <v>10988.922700000001</v>
      </c>
      <c r="N220">
        <v>1.1399999999999999</v>
      </c>
      <c r="O220" s="2">
        <f t="shared" si="37"/>
        <v>1236.6605999999999</v>
      </c>
      <c r="P220">
        <v>1.66</v>
      </c>
      <c r="Q220" s="2">
        <f t="shared" si="38"/>
        <v>1800.7513999999999</v>
      </c>
      <c r="R220">
        <v>0.95</v>
      </c>
      <c r="S220" s="3">
        <f t="shared" si="39"/>
        <v>1030.5504999999998</v>
      </c>
      <c r="T220" t="s">
        <v>234</v>
      </c>
      <c r="U220" s="4">
        <f t="shared" si="40"/>
        <v>108489.84789999999</v>
      </c>
      <c r="V220" s="4">
        <f t="shared" si="41"/>
        <v>10.847899999993388</v>
      </c>
      <c r="W220">
        <v>108479</v>
      </c>
      <c r="X220">
        <v>54713</v>
      </c>
      <c r="Y220">
        <v>53766</v>
      </c>
      <c r="Z220">
        <v>3381</v>
      </c>
      <c r="AA220">
        <v>18148</v>
      </c>
      <c r="AB220">
        <v>21330</v>
      </c>
      <c r="AC220">
        <v>16994</v>
      </c>
      <c r="AD220">
        <v>19052</v>
      </c>
      <c r="AE220">
        <v>15190</v>
      </c>
      <c r="AF220">
        <v>9006</v>
      </c>
      <c r="AG220">
        <v>4557</v>
      </c>
      <c r="AH220">
        <v>821</v>
      </c>
      <c r="AI220" s="5">
        <v>50.436490011891699</v>
      </c>
      <c r="AJ220" s="5">
        <v>49.563509988108301</v>
      </c>
      <c r="AK220" s="5">
        <v>3.1167322707620801</v>
      </c>
      <c r="AL220" s="5">
        <v>16.729505249864001</v>
      </c>
      <c r="AM220" s="5">
        <v>19.6627918767688</v>
      </c>
      <c r="AN220" s="5">
        <v>15.665704882972699</v>
      </c>
      <c r="AO220" s="5">
        <v>17.5628462651758</v>
      </c>
      <c r="AP220" s="5">
        <v>14.002710201974599</v>
      </c>
      <c r="AQ220" s="5">
        <v>8.3020676813023702</v>
      </c>
      <c r="AR220" s="5">
        <v>4.2008130605923704</v>
      </c>
      <c r="AS220" s="5">
        <v>0.75682851058730305</v>
      </c>
    </row>
    <row r="221" spans="1:45" x14ac:dyDescent="0.25">
      <c r="A221" t="s">
        <v>513</v>
      </c>
      <c r="B221" t="s">
        <v>514</v>
      </c>
      <c r="C221" t="s">
        <v>207</v>
      </c>
      <c r="D221">
        <v>22.65</v>
      </c>
      <c r="E221" s="2">
        <f t="shared" si="32"/>
        <v>36633.430499999995</v>
      </c>
      <c r="F221">
        <v>27.7</v>
      </c>
      <c r="G221" s="2">
        <f t="shared" si="33"/>
        <v>44801.148999999998</v>
      </c>
      <c r="H221">
        <v>20.29</v>
      </c>
      <c r="I221" s="2">
        <f t="shared" si="34"/>
        <v>32816.437299999998</v>
      </c>
      <c r="J221">
        <v>15.21</v>
      </c>
      <c r="K221" s="2">
        <f t="shared" si="35"/>
        <v>24600.197700000001</v>
      </c>
      <c r="L221">
        <v>11.35</v>
      </c>
      <c r="M221" s="2">
        <f t="shared" si="36"/>
        <v>18357.1495</v>
      </c>
      <c r="N221">
        <v>1.24</v>
      </c>
      <c r="O221" s="2">
        <f t="shared" si="37"/>
        <v>2005.5388</v>
      </c>
      <c r="P221">
        <v>0.98</v>
      </c>
      <c r="Q221" s="2">
        <f t="shared" si="38"/>
        <v>1585.0226</v>
      </c>
      <c r="R221">
        <v>0.57999999999999996</v>
      </c>
      <c r="S221" s="3">
        <f t="shared" si="39"/>
        <v>938.07459999999992</v>
      </c>
      <c r="T221" t="s">
        <v>208</v>
      </c>
      <c r="U221" s="4">
        <f t="shared" si="40"/>
        <v>161737</v>
      </c>
      <c r="V221" s="4">
        <f t="shared" si="41"/>
        <v>0</v>
      </c>
      <c r="W221">
        <v>161737</v>
      </c>
      <c r="X221">
        <v>85464</v>
      </c>
      <c r="Y221">
        <v>76273</v>
      </c>
      <c r="Z221">
        <v>5208</v>
      </c>
      <c r="AA221">
        <v>26605</v>
      </c>
      <c r="AB221">
        <v>30481</v>
      </c>
      <c r="AC221">
        <v>26108</v>
      </c>
      <c r="AD221">
        <v>27963</v>
      </c>
      <c r="AE221">
        <v>23161</v>
      </c>
      <c r="AF221">
        <v>14227</v>
      </c>
      <c r="AG221">
        <v>6637</v>
      </c>
      <c r="AH221">
        <v>1347</v>
      </c>
      <c r="AI221" s="5">
        <v>52.841341189709198</v>
      </c>
      <c r="AJ221" s="5">
        <v>47.158658810290802</v>
      </c>
      <c r="AK221" s="5">
        <v>3.22004241453718</v>
      </c>
      <c r="AL221" s="5">
        <v>16.4495446310986</v>
      </c>
      <c r="AM221" s="5">
        <v>18.846027810581401</v>
      </c>
      <c r="AN221" s="5">
        <v>16.1422556372382</v>
      </c>
      <c r="AO221" s="5">
        <v>17.289179346717201</v>
      </c>
      <c r="AP221" s="5">
        <v>14.320161744066001</v>
      </c>
      <c r="AQ221" s="5">
        <v>8.7963793071467897</v>
      </c>
      <c r="AR221" s="5">
        <v>4.1035755578500899</v>
      </c>
      <c r="AS221" s="5">
        <v>0.83283355076451304</v>
      </c>
    </row>
    <row r="222" spans="1:45" x14ac:dyDescent="0.25">
      <c r="A222" t="s">
        <v>515</v>
      </c>
      <c r="B222" t="s">
        <v>516</v>
      </c>
      <c r="C222" t="s">
        <v>233</v>
      </c>
      <c r="D222">
        <v>31.07</v>
      </c>
      <c r="E222" s="2">
        <f t="shared" si="32"/>
        <v>23533.039399999998</v>
      </c>
      <c r="F222">
        <v>19.2</v>
      </c>
      <c r="G222" s="2">
        <f t="shared" si="33"/>
        <v>14542.464</v>
      </c>
      <c r="H222">
        <v>20.28</v>
      </c>
      <c r="I222" s="2">
        <f t="shared" si="34"/>
        <v>15360.4776</v>
      </c>
      <c r="J222">
        <v>13.82</v>
      </c>
      <c r="K222" s="2">
        <f t="shared" si="35"/>
        <v>10467.544400000001</v>
      </c>
      <c r="L222">
        <v>11.95</v>
      </c>
      <c r="M222" s="2">
        <f t="shared" si="36"/>
        <v>9051.1689999999999</v>
      </c>
      <c r="N222">
        <v>1.47</v>
      </c>
      <c r="O222" s="2">
        <f t="shared" si="37"/>
        <v>1113.4074000000001</v>
      </c>
      <c r="P222">
        <v>1.58</v>
      </c>
      <c r="Q222" s="2">
        <f t="shared" si="38"/>
        <v>1196.7236</v>
      </c>
      <c r="R222">
        <v>0.62</v>
      </c>
      <c r="S222" s="3">
        <f t="shared" si="39"/>
        <v>469.60040000000004</v>
      </c>
      <c r="T222" t="s">
        <v>234</v>
      </c>
      <c r="U222" s="4">
        <f t="shared" si="40"/>
        <v>75734.425799999997</v>
      </c>
      <c r="V222" s="4">
        <f t="shared" si="41"/>
        <v>-7.5742000000027474</v>
      </c>
      <c r="W222">
        <v>75742</v>
      </c>
      <c r="X222">
        <v>38979</v>
      </c>
      <c r="Y222">
        <v>36763</v>
      </c>
      <c r="Z222">
        <v>2595</v>
      </c>
      <c r="AA222">
        <v>13382</v>
      </c>
      <c r="AB222">
        <v>14836</v>
      </c>
      <c r="AC222">
        <v>12560</v>
      </c>
      <c r="AD222">
        <v>13152</v>
      </c>
      <c r="AE222">
        <v>10482</v>
      </c>
      <c r="AF222">
        <v>5768</v>
      </c>
      <c r="AG222">
        <v>2507</v>
      </c>
      <c r="AH222">
        <v>460</v>
      </c>
      <c r="AI222" s="5">
        <v>51.462860764173101</v>
      </c>
      <c r="AJ222" s="5">
        <v>48.537139235826899</v>
      </c>
      <c r="AK222" s="5">
        <v>3.4261044070660902</v>
      </c>
      <c r="AL222" s="5">
        <v>17.667872514589</v>
      </c>
      <c r="AM222" s="5">
        <v>19.5875471997043</v>
      </c>
      <c r="AN222" s="5">
        <v>16.582609384489501</v>
      </c>
      <c r="AO222" s="5">
        <v>17.364210081592802</v>
      </c>
      <c r="AP222" s="5">
        <v>13.839085315941</v>
      </c>
      <c r="AQ222" s="5">
        <v>7.6153257109661698</v>
      </c>
      <c r="AR222" s="5">
        <v>3.3099205196588399</v>
      </c>
      <c r="AS222" s="5">
        <v>0.60732486599244795</v>
      </c>
    </row>
    <row r="223" spans="1:45" x14ac:dyDescent="0.25">
      <c r="A223" t="s">
        <v>517</v>
      </c>
      <c r="B223" t="s">
        <v>518</v>
      </c>
      <c r="C223" t="s">
        <v>147</v>
      </c>
      <c r="D223">
        <v>26.61</v>
      </c>
      <c r="E223" s="2">
        <f t="shared" si="32"/>
        <v>51096.788099999998</v>
      </c>
      <c r="F223">
        <v>25.36</v>
      </c>
      <c r="G223" s="2">
        <f t="shared" si="33"/>
        <v>48696.525599999994</v>
      </c>
      <c r="H223">
        <v>20.18</v>
      </c>
      <c r="I223" s="2">
        <f t="shared" si="34"/>
        <v>38749.837800000001</v>
      </c>
      <c r="J223">
        <v>12.98</v>
      </c>
      <c r="K223" s="2">
        <f t="shared" si="35"/>
        <v>24924.325800000002</v>
      </c>
      <c r="L223">
        <v>12.05</v>
      </c>
      <c r="M223" s="2">
        <f t="shared" si="36"/>
        <v>23138.530500000004</v>
      </c>
      <c r="N223">
        <v>1.28</v>
      </c>
      <c r="O223" s="2">
        <f t="shared" si="37"/>
        <v>2457.8688000000002</v>
      </c>
      <c r="P223">
        <v>1.02</v>
      </c>
      <c r="Q223" s="2">
        <f t="shared" si="38"/>
        <v>1958.6142000000002</v>
      </c>
      <c r="R223">
        <v>0.54</v>
      </c>
      <c r="S223" s="3">
        <f t="shared" si="39"/>
        <v>1036.9134000000001</v>
      </c>
      <c r="T223" t="s">
        <v>148</v>
      </c>
      <c r="U223" s="4">
        <f t="shared" si="40"/>
        <v>192059.40420000002</v>
      </c>
      <c r="V223" s="4">
        <f t="shared" si="41"/>
        <v>38.404200000019046</v>
      </c>
      <c r="W223">
        <v>192021</v>
      </c>
      <c r="X223">
        <v>100188</v>
      </c>
      <c r="Y223">
        <v>91833</v>
      </c>
      <c r="Z223">
        <v>6014</v>
      </c>
      <c r="AA223">
        <v>32629</v>
      </c>
      <c r="AB223">
        <v>38120</v>
      </c>
      <c r="AC223">
        <v>31771</v>
      </c>
      <c r="AD223">
        <v>30513</v>
      </c>
      <c r="AE223">
        <v>27144</v>
      </c>
      <c r="AF223">
        <v>17014</v>
      </c>
      <c r="AG223">
        <v>7358</v>
      </c>
      <c r="AH223">
        <v>1458</v>
      </c>
      <c r="AI223" s="5">
        <v>52.175543299951599</v>
      </c>
      <c r="AJ223" s="5">
        <v>47.824456700048401</v>
      </c>
      <c r="AK223" s="5">
        <v>3.1319491097327901</v>
      </c>
      <c r="AL223" s="5">
        <v>16.992412288239301</v>
      </c>
      <c r="AM223" s="5">
        <v>19.851995354674699</v>
      </c>
      <c r="AN223" s="5">
        <v>16.545586159847101</v>
      </c>
      <c r="AO223" s="5">
        <v>15.890449482087901</v>
      </c>
      <c r="AP223" s="5">
        <v>14.135953880044401</v>
      </c>
      <c r="AQ223" s="5">
        <v>8.8604892173251901</v>
      </c>
      <c r="AR223" s="5">
        <v>3.8318725556059001</v>
      </c>
      <c r="AS223" s="5">
        <v>0.75929195244270198</v>
      </c>
    </row>
    <row r="224" spans="1:45" x14ac:dyDescent="0.25">
      <c r="A224" t="s">
        <v>519</v>
      </c>
      <c r="B224" t="s">
        <v>520</v>
      </c>
      <c r="C224" t="s">
        <v>113</v>
      </c>
      <c r="D224">
        <v>29.9</v>
      </c>
      <c r="E224" s="2">
        <f t="shared" si="32"/>
        <v>6612.0859999999993</v>
      </c>
      <c r="F224">
        <v>20.12</v>
      </c>
      <c r="G224" s="2">
        <f t="shared" si="33"/>
        <v>4449.3368</v>
      </c>
      <c r="H224">
        <v>20.170000000000002</v>
      </c>
      <c r="I224" s="2">
        <f t="shared" si="34"/>
        <v>4460.3938000000007</v>
      </c>
      <c r="J224">
        <v>15.17</v>
      </c>
      <c r="K224" s="2">
        <f t="shared" si="35"/>
        <v>3354.6938</v>
      </c>
      <c r="L224">
        <v>11.38</v>
      </c>
      <c r="M224" s="2">
        <f t="shared" si="36"/>
        <v>2516.5732000000003</v>
      </c>
      <c r="N224">
        <v>0.94</v>
      </c>
      <c r="O224" s="2">
        <f t="shared" si="37"/>
        <v>207.8716</v>
      </c>
      <c r="P224">
        <v>1.69</v>
      </c>
      <c r="Q224" s="2">
        <f t="shared" si="38"/>
        <v>373.72659999999996</v>
      </c>
      <c r="R224">
        <v>0.62</v>
      </c>
      <c r="S224" s="3">
        <f t="shared" si="39"/>
        <v>137.10679999999999</v>
      </c>
      <c r="T224" t="s">
        <v>114</v>
      </c>
      <c r="U224" s="4">
        <f t="shared" si="40"/>
        <v>22111.7886</v>
      </c>
      <c r="V224" s="4">
        <f t="shared" si="41"/>
        <v>-2.2114000000001397</v>
      </c>
      <c r="W224">
        <v>22114</v>
      </c>
      <c r="X224">
        <v>11389</v>
      </c>
      <c r="Y224">
        <v>10725</v>
      </c>
      <c r="Z224">
        <v>661</v>
      </c>
      <c r="AA224">
        <v>3245</v>
      </c>
      <c r="AB224">
        <v>3758</v>
      </c>
      <c r="AC224">
        <v>3367</v>
      </c>
      <c r="AD224">
        <v>3494</v>
      </c>
      <c r="AE224">
        <v>3677</v>
      </c>
      <c r="AF224">
        <v>2611</v>
      </c>
      <c r="AG224">
        <v>1124</v>
      </c>
      <c r="AH224">
        <v>177</v>
      </c>
      <c r="AI224" s="5">
        <v>51.501311386452002</v>
      </c>
      <c r="AJ224" s="5">
        <v>48.498688613547998</v>
      </c>
      <c r="AK224" s="5">
        <v>2.9890567061589901</v>
      </c>
      <c r="AL224" s="5">
        <v>14.673962195893999</v>
      </c>
      <c r="AM224" s="5">
        <v>16.9937596092973</v>
      </c>
      <c r="AN224" s="5">
        <v>15.2256489101926</v>
      </c>
      <c r="AO224" s="5">
        <v>15.799945735733001</v>
      </c>
      <c r="AP224" s="5">
        <v>16.627475807181</v>
      </c>
      <c r="AQ224" s="5">
        <v>11.8070000904404</v>
      </c>
      <c r="AR224" s="5">
        <v>5.0827530071447997</v>
      </c>
      <c r="AS224" s="5">
        <v>0.80039793795785497</v>
      </c>
    </row>
    <row r="225" spans="1:45" x14ac:dyDescent="0.25">
      <c r="A225" t="s">
        <v>521</v>
      </c>
      <c r="B225" t="s">
        <v>522</v>
      </c>
      <c r="C225" t="s">
        <v>217</v>
      </c>
      <c r="D225">
        <v>23.42</v>
      </c>
      <c r="E225" s="2">
        <f t="shared" si="32"/>
        <v>3030.7822000000001</v>
      </c>
      <c r="F225">
        <v>30.26</v>
      </c>
      <c r="G225" s="2">
        <f t="shared" si="33"/>
        <v>3915.9466000000002</v>
      </c>
      <c r="H225">
        <v>20.149999999999999</v>
      </c>
      <c r="I225" s="2">
        <f t="shared" si="34"/>
        <v>2607.6115</v>
      </c>
      <c r="J225">
        <v>14.33</v>
      </c>
      <c r="K225" s="2">
        <f t="shared" si="35"/>
        <v>1854.4453000000001</v>
      </c>
      <c r="L225">
        <v>9.15</v>
      </c>
      <c r="M225" s="2">
        <f t="shared" si="36"/>
        <v>1184.1015</v>
      </c>
      <c r="N225">
        <v>1.05</v>
      </c>
      <c r="O225" s="2">
        <f t="shared" si="37"/>
        <v>135.88050000000001</v>
      </c>
      <c r="P225">
        <v>1.1499999999999999</v>
      </c>
      <c r="Q225" s="2">
        <f t="shared" si="38"/>
        <v>148.82149999999999</v>
      </c>
      <c r="R225">
        <v>0.48</v>
      </c>
      <c r="S225" s="3">
        <f t="shared" si="39"/>
        <v>62.116799999999991</v>
      </c>
      <c r="T225" t="s">
        <v>218</v>
      </c>
      <c r="U225" s="4">
        <f t="shared" si="40"/>
        <v>12939.705899999999</v>
      </c>
      <c r="V225" s="4">
        <f t="shared" si="41"/>
        <v>-1.2941000000009808</v>
      </c>
      <c r="W225">
        <v>12941</v>
      </c>
      <c r="X225">
        <v>6470</v>
      </c>
      <c r="Y225">
        <v>6471</v>
      </c>
      <c r="Z225">
        <v>364</v>
      </c>
      <c r="AA225">
        <v>1917</v>
      </c>
      <c r="AB225">
        <v>2540</v>
      </c>
      <c r="AC225">
        <v>2175</v>
      </c>
      <c r="AD225">
        <v>2186</v>
      </c>
      <c r="AE225">
        <v>1990</v>
      </c>
      <c r="AF225">
        <v>1196</v>
      </c>
      <c r="AG225">
        <v>491</v>
      </c>
      <c r="AH225">
        <v>82</v>
      </c>
      <c r="AI225" s="5">
        <v>49.996136310949701</v>
      </c>
      <c r="AJ225" s="5">
        <v>50.003863689050299</v>
      </c>
      <c r="AK225" s="5">
        <v>2.81276562862221</v>
      </c>
      <c r="AL225" s="5">
        <v>14.8133838188703</v>
      </c>
      <c r="AM225" s="5">
        <v>19.627540375550598</v>
      </c>
      <c r="AN225" s="5">
        <v>16.807047368827799</v>
      </c>
      <c r="AO225" s="5">
        <v>16.892048527934499</v>
      </c>
      <c r="AP225" s="5">
        <v>15.3774824202148</v>
      </c>
      <c r="AQ225" s="5">
        <v>9.2419442083301107</v>
      </c>
      <c r="AR225" s="5">
        <v>3.7941426473997399</v>
      </c>
      <c r="AS225" s="5">
        <v>0.63364500425005799</v>
      </c>
    </row>
    <row r="226" spans="1:45" x14ac:dyDescent="0.25">
      <c r="A226" t="s">
        <v>523</v>
      </c>
      <c r="B226" t="s">
        <v>524</v>
      </c>
      <c r="C226" t="s">
        <v>233</v>
      </c>
      <c r="D226">
        <v>26.32</v>
      </c>
      <c r="E226" s="2">
        <f t="shared" si="32"/>
        <v>8295.5375999999997</v>
      </c>
      <c r="F226">
        <v>25.56</v>
      </c>
      <c r="G226" s="2">
        <f t="shared" si="33"/>
        <v>8056.0007999999998</v>
      </c>
      <c r="H226">
        <v>20.14</v>
      </c>
      <c r="I226" s="2">
        <f t="shared" si="34"/>
        <v>6347.7251999999999</v>
      </c>
      <c r="J226">
        <v>13.92</v>
      </c>
      <c r="K226" s="2">
        <f t="shared" si="35"/>
        <v>4387.3055999999997</v>
      </c>
      <c r="L226">
        <v>11.13</v>
      </c>
      <c r="M226" s="2">
        <f t="shared" si="36"/>
        <v>3507.9534000000003</v>
      </c>
      <c r="N226">
        <v>1.1599999999999999</v>
      </c>
      <c r="O226" s="2">
        <f t="shared" si="37"/>
        <v>365.60879999999997</v>
      </c>
      <c r="P226">
        <v>1.29</v>
      </c>
      <c r="Q226" s="2">
        <f t="shared" si="38"/>
        <v>406.5822</v>
      </c>
      <c r="R226">
        <v>0.48</v>
      </c>
      <c r="S226" s="3">
        <f t="shared" si="39"/>
        <v>151.28639999999999</v>
      </c>
      <c r="T226" t="s">
        <v>234</v>
      </c>
      <c r="U226" s="4">
        <f t="shared" si="40"/>
        <v>31517.999999999996</v>
      </c>
      <c r="V226" s="4">
        <f t="shared" si="41"/>
        <v>0</v>
      </c>
      <c r="W226">
        <v>31518</v>
      </c>
      <c r="X226">
        <v>15992</v>
      </c>
      <c r="Y226">
        <v>15526</v>
      </c>
      <c r="Z226">
        <v>1100</v>
      </c>
      <c r="AA226">
        <v>5291</v>
      </c>
      <c r="AB226">
        <v>6208</v>
      </c>
      <c r="AC226">
        <v>5541</v>
      </c>
      <c r="AD226">
        <v>5149</v>
      </c>
      <c r="AE226">
        <v>4525</v>
      </c>
      <c r="AF226">
        <v>2447</v>
      </c>
      <c r="AG226">
        <v>1025</v>
      </c>
      <c r="AH226">
        <v>232</v>
      </c>
      <c r="AI226" s="5">
        <v>50.739260105336598</v>
      </c>
      <c r="AJ226" s="5">
        <v>49.260739894663402</v>
      </c>
      <c r="AK226" s="5">
        <v>3.4900691668253101</v>
      </c>
      <c r="AL226" s="5">
        <v>16.787232692429701</v>
      </c>
      <c r="AM226" s="5">
        <v>19.6966812615014</v>
      </c>
      <c r="AN226" s="5">
        <v>17.5804302303446</v>
      </c>
      <c r="AO226" s="5">
        <v>16.336696490894099</v>
      </c>
      <c r="AP226" s="5">
        <v>14.3568754362586</v>
      </c>
      <c r="AQ226" s="5">
        <v>7.7638175011104797</v>
      </c>
      <c r="AR226" s="5">
        <v>3.2521099054508502</v>
      </c>
      <c r="AS226" s="5">
        <v>0.73608731518497394</v>
      </c>
    </row>
    <row r="227" spans="1:45" x14ac:dyDescent="0.25">
      <c r="A227" t="s">
        <v>525</v>
      </c>
      <c r="B227" t="s">
        <v>526</v>
      </c>
      <c r="C227" t="s">
        <v>141</v>
      </c>
      <c r="D227">
        <v>16.420000000000002</v>
      </c>
      <c r="E227" s="2">
        <f t="shared" si="32"/>
        <v>2392.0656000000004</v>
      </c>
      <c r="F227">
        <v>36.380000000000003</v>
      </c>
      <c r="G227" s="2">
        <f t="shared" si="33"/>
        <v>5299.8384000000005</v>
      </c>
      <c r="H227">
        <v>20.04</v>
      </c>
      <c r="I227" s="2">
        <f t="shared" si="34"/>
        <v>2919.4271999999996</v>
      </c>
      <c r="J227">
        <v>14.81</v>
      </c>
      <c r="K227" s="2">
        <f t="shared" si="35"/>
        <v>2157.5208000000002</v>
      </c>
      <c r="L227">
        <v>10.26</v>
      </c>
      <c r="M227" s="2">
        <f t="shared" si="36"/>
        <v>1494.6768</v>
      </c>
      <c r="N227">
        <v>0.5</v>
      </c>
      <c r="O227" s="2">
        <f t="shared" si="37"/>
        <v>72.84</v>
      </c>
      <c r="P227">
        <v>1.0900000000000001</v>
      </c>
      <c r="Q227" s="2">
        <f t="shared" si="38"/>
        <v>158.7912</v>
      </c>
      <c r="R227">
        <v>0.5</v>
      </c>
      <c r="S227" s="3">
        <f t="shared" si="39"/>
        <v>72.84</v>
      </c>
      <c r="T227" t="s">
        <v>142</v>
      </c>
      <c r="U227" s="4">
        <f t="shared" si="40"/>
        <v>14568</v>
      </c>
      <c r="V227" s="4">
        <f t="shared" si="41"/>
        <v>0</v>
      </c>
      <c r="W227">
        <v>14568</v>
      </c>
      <c r="X227">
        <v>7249</v>
      </c>
      <c r="Y227">
        <v>7319</v>
      </c>
      <c r="Z227">
        <v>404</v>
      </c>
      <c r="AA227">
        <v>1965</v>
      </c>
      <c r="AB227">
        <v>2497</v>
      </c>
      <c r="AC227">
        <v>2239</v>
      </c>
      <c r="AD227">
        <v>2573</v>
      </c>
      <c r="AE227">
        <v>2416</v>
      </c>
      <c r="AF227">
        <v>1557</v>
      </c>
      <c r="AG227">
        <v>765</v>
      </c>
      <c r="AH227">
        <v>152</v>
      </c>
      <c r="AI227" s="5">
        <v>49.759747391543101</v>
      </c>
      <c r="AJ227" s="5">
        <v>50.240252608456899</v>
      </c>
      <c r="AK227" s="5">
        <v>2.7732015376166901</v>
      </c>
      <c r="AL227" s="5">
        <v>13.4884678747941</v>
      </c>
      <c r="AM227" s="5">
        <v>17.140307523338802</v>
      </c>
      <c r="AN227" s="5">
        <v>15.3693025809995</v>
      </c>
      <c r="AO227" s="5">
        <v>17.6619989017024</v>
      </c>
      <c r="AP227" s="5">
        <v>16.584294343767201</v>
      </c>
      <c r="AQ227" s="5">
        <v>10.6878088962109</v>
      </c>
      <c r="AR227" s="5">
        <v>5.2512355848434904</v>
      </c>
      <c r="AS227" s="5">
        <v>1.0433827567270699</v>
      </c>
    </row>
    <row r="228" spans="1:45" x14ac:dyDescent="0.25">
      <c r="A228" t="s">
        <v>527</v>
      </c>
      <c r="B228" t="s">
        <v>528</v>
      </c>
      <c r="C228" t="s">
        <v>217</v>
      </c>
      <c r="D228">
        <v>24.49</v>
      </c>
      <c r="E228" s="2">
        <f t="shared" si="32"/>
        <v>5701.2719999999999</v>
      </c>
      <c r="F228">
        <v>29.29</v>
      </c>
      <c r="G228" s="2">
        <f t="shared" si="33"/>
        <v>6818.7119999999995</v>
      </c>
      <c r="H228">
        <v>20.02</v>
      </c>
      <c r="I228" s="2">
        <f t="shared" si="34"/>
        <v>4660.6559999999999</v>
      </c>
      <c r="J228">
        <v>13.96</v>
      </c>
      <c r="K228" s="2">
        <f t="shared" si="35"/>
        <v>3249.8880000000004</v>
      </c>
      <c r="L228">
        <v>9.84</v>
      </c>
      <c r="M228" s="2">
        <f t="shared" si="36"/>
        <v>2290.752</v>
      </c>
      <c r="N228">
        <v>0.78</v>
      </c>
      <c r="O228" s="2">
        <f t="shared" si="37"/>
        <v>181.584</v>
      </c>
      <c r="P228">
        <v>1.18</v>
      </c>
      <c r="Q228" s="2">
        <f t="shared" si="38"/>
        <v>274.70399999999995</v>
      </c>
      <c r="R228">
        <v>0.45</v>
      </c>
      <c r="S228" s="3">
        <f t="shared" si="39"/>
        <v>104.76</v>
      </c>
      <c r="T228" t="s">
        <v>218</v>
      </c>
      <c r="U228" s="4">
        <f t="shared" si="40"/>
        <v>23282.328000000001</v>
      </c>
      <c r="V228" s="4">
        <f t="shared" si="41"/>
        <v>2.3280000000013388</v>
      </c>
      <c r="W228">
        <v>23280</v>
      </c>
      <c r="X228">
        <v>11508</v>
      </c>
      <c r="Y228">
        <v>11772</v>
      </c>
      <c r="Z228">
        <v>703</v>
      </c>
      <c r="AA228">
        <v>3432</v>
      </c>
      <c r="AB228">
        <v>4222</v>
      </c>
      <c r="AC228">
        <v>3756</v>
      </c>
      <c r="AD228">
        <v>4056</v>
      </c>
      <c r="AE228">
        <v>3839</v>
      </c>
      <c r="AF228">
        <v>2214</v>
      </c>
      <c r="AG228">
        <v>893</v>
      </c>
      <c r="AH228">
        <v>165</v>
      </c>
      <c r="AI228" s="5">
        <v>49.432989690721698</v>
      </c>
      <c r="AJ228" s="5">
        <v>50.567010309278302</v>
      </c>
      <c r="AK228" s="5">
        <v>3.0197594501718199</v>
      </c>
      <c r="AL228" s="5">
        <v>14.7422680412371</v>
      </c>
      <c r="AM228" s="5">
        <v>18.1357388316151</v>
      </c>
      <c r="AN228" s="5">
        <v>16.134020618556701</v>
      </c>
      <c r="AO228" s="5">
        <v>17.422680412371101</v>
      </c>
      <c r="AP228" s="5">
        <v>16.4905498281787</v>
      </c>
      <c r="AQ228" s="5">
        <v>9.5103092783505208</v>
      </c>
      <c r="AR228" s="5">
        <v>3.8359106529209601</v>
      </c>
      <c r="AS228" s="5">
        <v>0.70876288659793796</v>
      </c>
    </row>
    <row r="229" spans="1:45" x14ac:dyDescent="0.25">
      <c r="A229" t="s">
        <v>529</v>
      </c>
      <c r="B229" t="s">
        <v>530</v>
      </c>
      <c r="C229" t="s">
        <v>207</v>
      </c>
      <c r="D229">
        <v>18.64</v>
      </c>
      <c r="E229" s="2">
        <f t="shared" si="32"/>
        <v>1073.4776000000002</v>
      </c>
      <c r="F229">
        <v>38.43</v>
      </c>
      <c r="G229" s="2">
        <f t="shared" si="33"/>
        <v>2213.1837</v>
      </c>
      <c r="H229">
        <v>19.98</v>
      </c>
      <c r="I229" s="2">
        <f t="shared" si="34"/>
        <v>1150.6482000000001</v>
      </c>
      <c r="J229">
        <v>10.6</v>
      </c>
      <c r="K229" s="2">
        <f t="shared" si="35"/>
        <v>610.45400000000006</v>
      </c>
      <c r="L229">
        <v>9.7100000000000009</v>
      </c>
      <c r="M229" s="2">
        <f t="shared" si="36"/>
        <v>559.19890000000009</v>
      </c>
      <c r="N229">
        <v>0.94</v>
      </c>
      <c r="O229" s="2">
        <f t="shared" si="37"/>
        <v>54.134599999999999</v>
      </c>
      <c r="P229">
        <v>1</v>
      </c>
      <c r="Q229" s="2">
        <f t="shared" si="38"/>
        <v>57.59</v>
      </c>
      <c r="R229">
        <v>0.71</v>
      </c>
      <c r="S229" s="3">
        <f t="shared" si="39"/>
        <v>40.8889</v>
      </c>
      <c r="T229" t="s">
        <v>208</v>
      </c>
      <c r="U229" s="4">
        <f t="shared" si="40"/>
        <v>5759.5758999999998</v>
      </c>
      <c r="V229" s="4">
        <f t="shared" si="41"/>
        <v>0.57589999999981956</v>
      </c>
      <c r="W229">
        <v>5759</v>
      </c>
      <c r="X229">
        <v>2864</v>
      </c>
      <c r="Y229">
        <v>2895</v>
      </c>
      <c r="Z229">
        <v>157</v>
      </c>
      <c r="AA229">
        <v>713</v>
      </c>
      <c r="AB229">
        <v>877</v>
      </c>
      <c r="AC229">
        <v>895</v>
      </c>
      <c r="AD229">
        <v>1090</v>
      </c>
      <c r="AE229">
        <v>1019</v>
      </c>
      <c r="AF229">
        <v>636</v>
      </c>
      <c r="AG229">
        <v>316</v>
      </c>
      <c r="AH229">
        <v>56</v>
      </c>
      <c r="AI229" s="5">
        <v>49.730856051397801</v>
      </c>
      <c r="AJ229" s="5">
        <v>50.269143948602199</v>
      </c>
      <c r="AK229" s="5">
        <v>2.72616773745442</v>
      </c>
      <c r="AL229" s="5">
        <v>12.380621635700599</v>
      </c>
      <c r="AM229" s="5">
        <v>15.228338253168999</v>
      </c>
      <c r="AN229" s="5">
        <v>15.540892516061801</v>
      </c>
      <c r="AO229" s="5">
        <v>18.926897030734501</v>
      </c>
      <c r="AP229" s="5">
        <v>17.6940441048793</v>
      </c>
      <c r="AQ229" s="5">
        <v>11.043583955547801</v>
      </c>
      <c r="AR229" s="5">
        <v>5.48706372634138</v>
      </c>
      <c r="AS229" s="5">
        <v>0.97239104011112998</v>
      </c>
    </row>
    <row r="230" spans="1:45" x14ac:dyDescent="0.25">
      <c r="A230" t="s">
        <v>531</v>
      </c>
      <c r="B230" t="s">
        <v>532</v>
      </c>
      <c r="C230" t="s">
        <v>217</v>
      </c>
      <c r="D230">
        <v>19.940000000000001</v>
      </c>
      <c r="E230" s="2">
        <f t="shared" si="32"/>
        <v>1457.8134</v>
      </c>
      <c r="F230">
        <v>33.24</v>
      </c>
      <c r="G230" s="2">
        <f t="shared" si="33"/>
        <v>2430.1764000000003</v>
      </c>
      <c r="H230">
        <v>19.97</v>
      </c>
      <c r="I230" s="2">
        <f t="shared" si="34"/>
        <v>1460.0066999999999</v>
      </c>
      <c r="J230">
        <v>12.24</v>
      </c>
      <c r="K230" s="2">
        <f t="shared" si="35"/>
        <v>894.8664</v>
      </c>
      <c r="L230">
        <v>12.91</v>
      </c>
      <c r="M230" s="2">
        <f t="shared" si="36"/>
        <v>943.8501</v>
      </c>
      <c r="N230">
        <v>0.56000000000000005</v>
      </c>
      <c r="O230" s="2">
        <f t="shared" si="37"/>
        <v>40.941600000000001</v>
      </c>
      <c r="P230">
        <v>0.76</v>
      </c>
      <c r="Q230" s="2">
        <f t="shared" si="38"/>
        <v>55.563599999999994</v>
      </c>
      <c r="R230">
        <v>0.37</v>
      </c>
      <c r="S230" s="3">
        <f t="shared" si="39"/>
        <v>27.050700000000003</v>
      </c>
      <c r="T230" t="s">
        <v>218</v>
      </c>
      <c r="U230" s="4">
        <f t="shared" si="40"/>
        <v>7310.2689</v>
      </c>
      <c r="V230" s="4">
        <f t="shared" si="41"/>
        <v>-0.73109999999996944</v>
      </c>
      <c r="W230">
        <v>7311</v>
      </c>
      <c r="X230">
        <v>3573</v>
      </c>
      <c r="Y230">
        <v>3738</v>
      </c>
      <c r="Z230">
        <v>171</v>
      </c>
      <c r="AA230">
        <v>960</v>
      </c>
      <c r="AB230">
        <v>1253</v>
      </c>
      <c r="AC230">
        <v>1122</v>
      </c>
      <c r="AD230">
        <v>1393</v>
      </c>
      <c r="AE230">
        <v>1143</v>
      </c>
      <c r="AF230">
        <v>799</v>
      </c>
      <c r="AG230">
        <v>372</v>
      </c>
      <c r="AH230">
        <v>98</v>
      </c>
      <c r="AI230" s="5">
        <v>48.871563397620001</v>
      </c>
      <c r="AJ230" s="5">
        <v>51.128436602379999</v>
      </c>
      <c r="AK230" s="5">
        <v>2.3389413212966801</v>
      </c>
      <c r="AL230" s="5">
        <v>13.130898645876099</v>
      </c>
      <c r="AM230" s="5">
        <v>17.138558336752801</v>
      </c>
      <c r="AN230" s="5">
        <v>15.3467377923677</v>
      </c>
      <c r="AO230" s="5">
        <v>19.053481055943099</v>
      </c>
      <c r="AP230" s="5">
        <v>15.633976200246201</v>
      </c>
      <c r="AQ230" s="5">
        <v>10.928737518807299</v>
      </c>
      <c r="AR230" s="5">
        <v>5.0882232252769803</v>
      </c>
      <c r="AS230" s="5">
        <v>1.3404459034331799</v>
      </c>
    </row>
    <row r="231" spans="1:45" x14ac:dyDescent="0.25">
      <c r="A231" t="s">
        <v>533</v>
      </c>
      <c r="B231" t="s">
        <v>534</v>
      </c>
      <c r="C231" t="s">
        <v>147</v>
      </c>
      <c r="D231">
        <v>25.21</v>
      </c>
      <c r="E231" s="2">
        <f t="shared" si="32"/>
        <v>1753.6076</v>
      </c>
      <c r="F231">
        <v>30.93</v>
      </c>
      <c r="G231" s="2">
        <f t="shared" si="33"/>
        <v>2151.4908</v>
      </c>
      <c r="H231">
        <v>19.97</v>
      </c>
      <c r="I231" s="2">
        <f t="shared" si="34"/>
        <v>1389.1131999999998</v>
      </c>
      <c r="J231">
        <v>10.89</v>
      </c>
      <c r="K231" s="2">
        <f t="shared" si="35"/>
        <v>757.50840000000017</v>
      </c>
      <c r="L231">
        <v>10.79</v>
      </c>
      <c r="M231" s="2">
        <f t="shared" si="36"/>
        <v>750.55239999999992</v>
      </c>
      <c r="N231">
        <v>0.79</v>
      </c>
      <c r="O231" s="2">
        <f t="shared" si="37"/>
        <v>54.952400000000004</v>
      </c>
      <c r="P231">
        <v>1.04</v>
      </c>
      <c r="Q231" s="2">
        <f t="shared" si="38"/>
        <v>72.342400000000012</v>
      </c>
      <c r="R231">
        <v>0.38</v>
      </c>
      <c r="S231" s="3">
        <f t="shared" si="39"/>
        <v>26.4328</v>
      </c>
      <c r="T231" t="s">
        <v>148</v>
      </c>
      <c r="U231" s="4">
        <f t="shared" si="40"/>
        <v>6956.0000000000009</v>
      </c>
      <c r="V231" s="4">
        <f t="shared" si="41"/>
        <v>0</v>
      </c>
      <c r="W231">
        <v>6956</v>
      </c>
      <c r="X231">
        <v>3469</v>
      </c>
      <c r="Y231">
        <v>3487</v>
      </c>
      <c r="Z231">
        <v>172</v>
      </c>
      <c r="AA231">
        <v>1005</v>
      </c>
      <c r="AB231">
        <v>1196</v>
      </c>
      <c r="AC231">
        <v>1146</v>
      </c>
      <c r="AD231">
        <v>1221</v>
      </c>
      <c r="AE231">
        <v>1164</v>
      </c>
      <c r="AF231">
        <v>684</v>
      </c>
      <c r="AG231">
        <v>315</v>
      </c>
      <c r="AH231">
        <v>53</v>
      </c>
      <c r="AI231" s="5">
        <v>49.8706152961472</v>
      </c>
      <c r="AJ231" s="5">
        <v>50.1293847038528</v>
      </c>
      <c r="AK231" s="5">
        <v>2.4726854514088599</v>
      </c>
      <c r="AL231" s="5">
        <v>14.4479585968948</v>
      </c>
      <c r="AM231" s="5">
        <v>17.193789534215099</v>
      </c>
      <c r="AN231" s="5">
        <v>16.4749856239218</v>
      </c>
      <c r="AO231" s="5">
        <v>17.553191489361701</v>
      </c>
      <c r="AP231" s="5">
        <v>16.7337550316274</v>
      </c>
      <c r="AQ231" s="5">
        <v>9.8332374928119606</v>
      </c>
      <c r="AR231" s="5">
        <v>4.5284646348476096</v>
      </c>
      <c r="AS231" s="5">
        <v>0.76193214491086803</v>
      </c>
    </row>
    <row r="232" spans="1:45" x14ac:dyDescent="0.25">
      <c r="A232" t="s">
        <v>535</v>
      </c>
      <c r="B232" t="s">
        <v>536</v>
      </c>
      <c r="C232" t="s">
        <v>233</v>
      </c>
      <c r="D232">
        <v>34.07</v>
      </c>
      <c r="E232" s="2">
        <f t="shared" si="32"/>
        <v>25276.192299999999</v>
      </c>
      <c r="F232">
        <v>19.98</v>
      </c>
      <c r="G232" s="2">
        <f t="shared" si="33"/>
        <v>14822.9622</v>
      </c>
      <c r="H232">
        <v>19.96</v>
      </c>
      <c r="I232" s="2">
        <f t="shared" si="34"/>
        <v>14808.124400000002</v>
      </c>
      <c r="J232">
        <v>12.3</v>
      </c>
      <c r="K232" s="2">
        <f t="shared" si="35"/>
        <v>9125.2470000000012</v>
      </c>
      <c r="L232">
        <v>9.9600000000000009</v>
      </c>
      <c r="M232" s="2">
        <f t="shared" si="36"/>
        <v>7389.224400000001</v>
      </c>
      <c r="N232">
        <v>1.22</v>
      </c>
      <c r="O232" s="2">
        <f t="shared" si="37"/>
        <v>905.10580000000004</v>
      </c>
      <c r="P232">
        <v>1.76</v>
      </c>
      <c r="Q232" s="2">
        <f t="shared" si="38"/>
        <v>1305.7264</v>
      </c>
      <c r="R232">
        <v>0.76</v>
      </c>
      <c r="S232" s="3">
        <f t="shared" si="39"/>
        <v>563.83640000000003</v>
      </c>
      <c r="T232" t="s">
        <v>234</v>
      </c>
      <c r="U232" s="4">
        <f t="shared" si="40"/>
        <v>74196.418900000004</v>
      </c>
      <c r="V232" s="4">
        <f t="shared" si="41"/>
        <v>7.4189000000042142</v>
      </c>
      <c r="W232">
        <v>74189</v>
      </c>
      <c r="X232">
        <v>37285</v>
      </c>
      <c r="Y232">
        <v>36904</v>
      </c>
      <c r="Z232">
        <v>2159</v>
      </c>
      <c r="AA232">
        <v>12348</v>
      </c>
      <c r="AB232">
        <v>13624</v>
      </c>
      <c r="AC232">
        <v>10904</v>
      </c>
      <c r="AD232">
        <v>13462</v>
      </c>
      <c r="AE232">
        <v>10881</v>
      </c>
      <c r="AF232">
        <v>6618</v>
      </c>
      <c r="AG232">
        <v>3583</v>
      </c>
      <c r="AH232">
        <v>610</v>
      </c>
      <c r="AI232" s="5">
        <v>50.256776611087901</v>
      </c>
      <c r="AJ232" s="5">
        <v>49.743223388912099</v>
      </c>
      <c r="AK232" s="5">
        <v>2.9101349256628302</v>
      </c>
      <c r="AL232" s="5">
        <v>16.643976869886401</v>
      </c>
      <c r="AM232" s="5">
        <v>18.363908396123399</v>
      </c>
      <c r="AN232" s="5">
        <v>14.6975966787529</v>
      </c>
      <c r="AO232" s="5">
        <v>18.1455471835447</v>
      </c>
      <c r="AP232" s="5">
        <v>14.666594778201601</v>
      </c>
      <c r="AQ232" s="5">
        <v>8.9204599064551306</v>
      </c>
      <c r="AR232" s="5">
        <v>4.82955694240386</v>
      </c>
      <c r="AS232" s="5">
        <v>0.82222431896911896</v>
      </c>
    </row>
    <row r="233" spans="1:45" x14ac:dyDescent="0.25">
      <c r="A233" t="s">
        <v>537</v>
      </c>
      <c r="B233" t="s">
        <v>538</v>
      </c>
      <c r="C233" t="s">
        <v>147</v>
      </c>
      <c r="D233">
        <v>16.84</v>
      </c>
      <c r="E233" s="2">
        <f t="shared" si="32"/>
        <v>1725.0896</v>
      </c>
      <c r="F233">
        <v>40.049999999999997</v>
      </c>
      <c r="G233" s="2">
        <f t="shared" si="33"/>
        <v>4102.7219999999998</v>
      </c>
      <c r="H233">
        <v>19.809999999999999</v>
      </c>
      <c r="I233" s="2">
        <f t="shared" si="34"/>
        <v>2029.3363999999999</v>
      </c>
      <c r="J233">
        <v>13.33</v>
      </c>
      <c r="K233" s="2">
        <f t="shared" si="35"/>
        <v>1365.5251999999998</v>
      </c>
      <c r="L233">
        <v>8.4</v>
      </c>
      <c r="M233" s="2">
        <f t="shared" si="36"/>
        <v>860.49600000000009</v>
      </c>
      <c r="N233">
        <v>0.41</v>
      </c>
      <c r="O233" s="2">
        <f t="shared" si="37"/>
        <v>42.000399999999999</v>
      </c>
      <c r="P233">
        <v>0.93</v>
      </c>
      <c r="Q233" s="2">
        <f t="shared" si="38"/>
        <v>95.269199999999998</v>
      </c>
      <c r="R233">
        <v>0.24</v>
      </c>
      <c r="S233" s="3">
        <f t="shared" si="39"/>
        <v>24.585599999999999</v>
      </c>
      <c r="T233" t="s">
        <v>148</v>
      </c>
      <c r="U233" s="4">
        <f t="shared" si="40"/>
        <v>10245.024399999998</v>
      </c>
      <c r="V233" s="4">
        <f t="shared" si="41"/>
        <v>1.0243999999984226</v>
      </c>
      <c r="W233">
        <v>10244</v>
      </c>
      <c r="X233">
        <v>4882</v>
      </c>
      <c r="Y233">
        <v>5362</v>
      </c>
      <c r="Z233">
        <v>258</v>
      </c>
      <c r="AA233">
        <v>1345</v>
      </c>
      <c r="AB233">
        <v>1651</v>
      </c>
      <c r="AC233">
        <v>1705</v>
      </c>
      <c r="AD233">
        <v>2045</v>
      </c>
      <c r="AE233">
        <v>1711</v>
      </c>
      <c r="AF233">
        <v>1000</v>
      </c>
      <c r="AG233">
        <v>447</v>
      </c>
      <c r="AH233">
        <v>82</v>
      </c>
      <c r="AI233" s="5">
        <v>47.657165169855503</v>
      </c>
      <c r="AJ233" s="5">
        <v>52.342834830144497</v>
      </c>
      <c r="AK233" s="5">
        <v>2.51854744240531</v>
      </c>
      <c r="AL233" s="5">
        <v>13.1296368606013</v>
      </c>
      <c r="AM233" s="5">
        <v>16.1167512690355</v>
      </c>
      <c r="AN233" s="5">
        <v>16.643889105818001</v>
      </c>
      <c r="AO233" s="5">
        <v>19.9629051151894</v>
      </c>
      <c r="AP233" s="5">
        <v>16.702459976571699</v>
      </c>
      <c r="AQ233" s="5">
        <v>9.7618117922686505</v>
      </c>
      <c r="AR233" s="5">
        <v>4.3635298711440802</v>
      </c>
      <c r="AS233" s="5">
        <v>0.80046856696602897</v>
      </c>
    </row>
    <row r="234" spans="1:45" x14ac:dyDescent="0.25">
      <c r="A234" t="s">
        <v>539</v>
      </c>
      <c r="B234" t="s">
        <v>540</v>
      </c>
      <c r="C234" t="s">
        <v>233</v>
      </c>
      <c r="D234">
        <v>24.76</v>
      </c>
      <c r="E234" s="2">
        <f t="shared" si="32"/>
        <v>26336.221600000001</v>
      </c>
      <c r="F234">
        <v>26.4</v>
      </c>
      <c r="G234" s="2">
        <f t="shared" si="33"/>
        <v>28080.624</v>
      </c>
      <c r="H234">
        <v>19.8</v>
      </c>
      <c r="I234" s="2">
        <f t="shared" si="34"/>
        <v>21060.468000000004</v>
      </c>
      <c r="J234">
        <v>14.48</v>
      </c>
      <c r="K234" s="2">
        <f t="shared" si="35"/>
        <v>15401.7968</v>
      </c>
      <c r="L234">
        <v>11.55</v>
      </c>
      <c r="M234" s="2">
        <f t="shared" si="36"/>
        <v>12285.273000000001</v>
      </c>
      <c r="N234">
        <v>1.1599999999999999</v>
      </c>
      <c r="O234" s="2">
        <f t="shared" si="37"/>
        <v>1233.8455999999999</v>
      </c>
      <c r="P234">
        <v>1.22</v>
      </c>
      <c r="Q234" s="2">
        <f t="shared" si="38"/>
        <v>1297.6652000000001</v>
      </c>
      <c r="R234">
        <v>0.63</v>
      </c>
      <c r="S234" s="3">
        <f t="shared" si="39"/>
        <v>670.10580000000004</v>
      </c>
      <c r="T234" t="s">
        <v>234</v>
      </c>
      <c r="U234" s="4">
        <f t="shared" si="40"/>
        <v>106366.00000000001</v>
      </c>
      <c r="V234" s="4">
        <f t="shared" si="41"/>
        <v>0</v>
      </c>
      <c r="W234">
        <v>106366</v>
      </c>
      <c r="X234">
        <v>54016</v>
      </c>
      <c r="Y234">
        <v>52350</v>
      </c>
      <c r="Z234">
        <v>3336</v>
      </c>
      <c r="AA234">
        <v>17756</v>
      </c>
      <c r="AB234">
        <v>20817</v>
      </c>
      <c r="AC234">
        <v>17981</v>
      </c>
      <c r="AD234">
        <v>17013</v>
      </c>
      <c r="AE234">
        <v>15481</v>
      </c>
      <c r="AF234">
        <v>9226</v>
      </c>
      <c r="AG234">
        <v>4037</v>
      </c>
      <c r="AH234">
        <v>719</v>
      </c>
      <c r="AI234" s="5">
        <v>50.783144989940403</v>
      </c>
      <c r="AJ234" s="5">
        <v>49.216855010059597</v>
      </c>
      <c r="AK234" s="5">
        <v>3.13634055995337</v>
      </c>
      <c r="AL234" s="5">
        <v>16.693304251358501</v>
      </c>
      <c r="AM234" s="5">
        <v>19.571103548126299</v>
      </c>
      <c r="AN234" s="5">
        <v>16.904838012146701</v>
      </c>
      <c r="AO234" s="5">
        <v>15.9947727657334</v>
      </c>
      <c r="AP234" s="5">
        <v>14.5544628922776</v>
      </c>
      <c r="AQ234" s="5">
        <v>8.6738243423650392</v>
      </c>
      <c r="AR234" s="5">
        <v>3.7953857435646698</v>
      </c>
      <c r="AS234" s="5">
        <v>0.67596788447436196</v>
      </c>
    </row>
    <row r="235" spans="1:45" x14ac:dyDescent="0.25">
      <c r="A235" t="s">
        <v>541</v>
      </c>
      <c r="B235" t="s">
        <v>542</v>
      </c>
      <c r="C235" t="s">
        <v>147</v>
      </c>
      <c r="D235">
        <v>24.66</v>
      </c>
      <c r="E235" s="2">
        <f t="shared" si="32"/>
        <v>31708.567799999997</v>
      </c>
      <c r="F235">
        <v>27.27</v>
      </c>
      <c r="G235" s="2">
        <f t="shared" si="33"/>
        <v>35064.5841</v>
      </c>
      <c r="H235">
        <v>19.649999999999999</v>
      </c>
      <c r="I235" s="2">
        <f t="shared" si="34"/>
        <v>25266.559499999996</v>
      </c>
      <c r="J235">
        <v>14.01</v>
      </c>
      <c r="K235" s="2">
        <f t="shared" si="35"/>
        <v>18014.478300000002</v>
      </c>
      <c r="L235">
        <v>11.38</v>
      </c>
      <c r="M235" s="2">
        <f t="shared" si="36"/>
        <v>14632.7454</v>
      </c>
      <c r="N235">
        <v>1.31</v>
      </c>
      <c r="O235" s="2">
        <f t="shared" si="37"/>
        <v>1684.4373000000001</v>
      </c>
      <c r="P235">
        <v>1.17</v>
      </c>
      <c r="Q235" s="2">
        <f t="shared" si="38"/>
        <v>1504.4210999999998</v>
      </c>
      <c r="R235">
        <v>0.56000000000000005</v>
      </c>
      <c r="S235" s="3">
        <f t="shared" si="39"/>
        <v>720.0648000000001</v>
      </c>
      <c r="T235" t="s">
        <v>148</v>
      </c>
      <c r="U235" s="4">
        <f t="shared" si="40"/>
        <v>128595.85829999999</v>
      </c>
      <c r="V235" s="4">
        <f t="shared" si="41"/>
        <v>12.858299999992596</v>
      </c>
      <c r="W235">
        <v>128583</v>
      </c>
      <c r="X235">
        <v>66375</v>
      </c>
      <c r="Y235">
        <v>62208</v>
      </c>
      <c r="Z235">
        <v>4172</v>
      </c>
      <c r="AA235">
        <v>20782</v>
      </c>
      <c r="AB235">
        <v>25869</v>
      </c>
      <c r="AC235">
        <v>22214</v>
      </c>
      <c r="AD235">
        <v>21039</v>
      </c>
      <c r="AE235">
        <v>18518</v>
      </c>
      <c r="AF235">
        <v>10779</v>
      </c>
      <c r="AG235">
        <v>4345</v>
      </c>
      <c r="AH235">
        <v>865</v>
      </c>
      <c r="AI235" s="5">
        <v>51.620354168124898</v>
      </c>
      <c r="AJ235" s="5">
        <v>48.379645831875102</v>
      </c>
      <c r="AK235" s="5">
        <v>3.24459687517012</v>
      </c>
      <c r="AL235" s="5">
        <v>16.162323168692598</v>
      </c>
      <c r="AM235" s="5">
        <v>20.118522666293401</v>
      </c>
      <c r="AN235" s="5">
        <v>17.2760007154912</v>
      </c>
      <c r="AO235" s="5">
        <v>16.362194069200399</v>
      </c>
      <c r="AP235" s="5">
        <v>14.4015927455418</v>
      </c>
      <c r="AQ235" s="5">
        <v>8.3829122045682603</v>
      </c>
      <c r="AR235" s="5">
        <v>3.3791403218154801</v>
      </c>
      <c r="AS235" s="5">
        <v>0.672717233226787</v>
      </c>
    </row>
    <row r="236" spans="1:45" x14ac:dyDescent="0.25">
      <c r="A236" t="s">
        <v>543</v>
      </c>
      <c r="B236" t="s">
        <v>544</v>
      </c>
      <c r="C236" t="s">
        <v>233</v>
      </c>
      <c r="D236">
        <v>24.58</v>
      </c>
      <c r="E236" s="2">
        <f t="shared" si="32"/>
        <v>21808.359199999999</v>
      </c>
      <c r="F236">
        <v>31.26</v>
      </c>
      <c r="G236" s="2">
        <f t="shared" si="33"/>
        <v>27735.122400000004</v>
      </c>
      <c r="H236">
        <v>19.64</v>
      </c>
      <c r="I236" s="2">
        <f t="shared" si="34"/>
        <v>17425.393599999999</v>
      </c>
      <c r="J236">
        <v>11.88</v>
      </c>
      <c r="K236" s="2">
        <f t="shared" si="35"/>
        <v>10540.4112</v>
      </c>
      <c r="L236">
        <v>9.61</v>
      </c>
      <c r="M236" s="2">
        <f t="shared" si="36"/>
        <v>8526.3763999999992</v>
      </c>
      <c r="N236">
        <v>1.31</v>
      </c>
      <c r="O236" s="2">
        <f t="shared" si="37"/>
        <v>1162.2844</v>
      </c>
      <c r="P236">
        <v>1.19</v>
      </c>
      <c r="Q236" s="2">
        <f t="shared" si="38"/>
        <v>1055.8155999999999</v>
      </c>
      <c r="R236">
        <v>0.54</v>
      </c>
      <c r="S236" s="3">
        <f t="shared" si="39"/>
        <v>479.10960000000006</v>
      </c>
      <c r="T236" t="s">
        <v>234</v>
      </c>
      <c r="U236" s="4">
        <f t="shared" si="40"/>
        <v>88732.872399999993</v>
      </c>
      <c r="V236" s="4">
        <f t="shared" si="41"/>
        <v>8.8723999999929219</v>
      </c>
      <c r="W236">
        <v>88724</v>
      </c>
      <c r="X236">
        <v>45873</v>
      </c>
      <c r="Y236">
        <v>42851</v>
      </c>
      <c r="Z236">
        <v>3149</v>
      </c>
      <c r="AA236">
        <v>14767</v>
      </c>
      <c r="AB236">
        <v>20289</v>
      </c>
      <c r="AC236">
        <v>16893</v>
      </c>
      <c r="AD236">
        <v>13683</v>
      </c>
      <c r="AE236">
        <v>11225</v>
      </c>
      <c r="AF236">
        <v>5839</v>
      </c>
      <c r="AG236">
        <v>2433</v>
      </c>
      <c r="AH236">
        <v>446</v>
      </c>
      <c r="AI236" s="5">
        <v>51.703034128307998</v>
      </c>
      <c r="AJ236" s="5">
        <v>48.296965871692002</v>
      </c>
      <c r="AK236" s="5">
        <v>3.5492087822911502</v>
      </c>
      <c r="AL236" s="5">
        <v>16.643749154681899</v>
      </c>
      <c r="AM236" s="5">
        <v>22.867544294666601</v>
      </c>
      <c r="AN236" s="5">
        <v>19.039944096298601</v>
      </c>
      <c r="AO236" s="5">
        <v>15.4219827780533</v>
      </c>
      <c r="AP236" s="5">
        <v>12.651593706325199</v>
      </c>
      <c r="AQ236" s="5">
        <v>6.5810829087958203</v>
      </c>
      <c r="AR236" s="5">
        <v>2.7422118028943698</v>
      </c>
      <c r="AS236" s="5">
        <v>0.502682475992967</v>
      </c>
    </row>
    <row r="237" spans="1:45" x14ac:dyDescent="0.25">
      <c r="A237" t="s">
        <v>545</v>
      </c>
      <c r="B237" t="s">
        <v>546</v>
      </c>
      <c r="C237" t="s">
        <v>233</v>
      </c>
      <c r="D237">
        <v>28.05</v>
      </c>
      <c r="E237" s="2">
        <f t="shared" si="32"/>
        <v>17472.625500000002</v>
      </c>
      <c r="F237">
        <v>22.44</v>
      </c>
      <c r="G237" s="2">
        <f t="shared" si="33"/>
        <v>13978.100400000001</v>
      </c>
      <c r="H237">
        <v>19.579999999999998</v>
      </c>
      <c r="I237" s="2">
        <f t="shared" si="34"/>
        <v>12196.577799999997</v>
      </c>
      <c r="J237">
        <v>14.69</v>
      </c>
      <c r="K237" s="2">
        <f t="shared" si="35"/>
        <v>9150.5478999999996</v>
      </c>
      <c r="L237">
        <v>11.73</v>
      </c>
      <c r="M237" s="2">
        <f t="shared" si="36"/>
        <v>7306.7343000000001</v>
      </c>
      <c r="N237">
        <v>1.42</v>
      </c>
      <c r="O237" s="2">
        <f t="shared" si="37"/>
        <v>884.53219999999999</v>
      </c>
      <c r="P237">
        <v>1.41</v>
      </c>
      <c r="Q237" s="2">
        <f t="shared" si="38"/>
        <v>878.30309999999997</v>
      </c>
      <c r="R237">
        <v>0.67</v>
      </c>
      <c r="S237" s="3">
        <f t="shared" si="39"/>
        <v>417.34969999999998</v>
      </c>
      <c r="T237" t="s">
        <v>234</v>
      </c>
      <c r="U237" s="4">
        <f t="shared" si="40"/>
        <v>62284.770900000003</v>
      </c>
      <c r="V237" s="4">
        <f t="shared" si="41"/>
        <v>-6.2290999999968335</v>
      </c>
      <c r="W237">
        <v>62291</v>
      </c>
      <c r="X237">
        <v>31936</v>
      </c>
      <c r="Y237">
        <v>30355</v>
      </c>
      <c r="Z237">
        <v>2084</v>
      </c>
      <c r="AA237">
        <v>10638</v>
      </c>
      <c r="AB237">
        <v>12380</v>
      </c>
      <c r="AC237">
        <v>10660</v>
      </c>
      <c r="AD237">
        <v>10116</v>
      </c>
      <c r="AE237">
        <v>9126</v>
      </c>
      <c r="AF237">
        <v>4810</v>
      </c>
      <c r="AG237">
        <v>2096</v>
      </c>
      <c r="AH237">
        <v>381</v>
      </c>
      <c r="AI237" s="5">
        <v>51.269043682072898</v>
      </c>
      <c r="AJ237" s="5">
        <v>48.730956317927202</v>
      </c>
      <c r="AK237" s="5">
        <v>3.34558764508516</v>
      </c>
      <c r="AL237" s="5">
        <v>17.077908526111301</v>
      </c>
      <c r="AM237" s="5">
        <v>19.8744601948917</v>
      </c>
      <c r="AN237" s="5">
        <v>17.1132266298502</v>
      </c>
      <c r="AO237" s="5">
        <v>16.2399062464883</v>
      </c>
      <c r="AP237" s="5">
        <v>14.6505915782376</v>
      </c>
      <c r="AQ237" s="5">
        <v>7.7218217720055904</v>
      </c>
      <c r="AR237" s="5">
        <v>3.3648520653063798</v>
      </c>
      <c r="AS237" s="5">
        <v>0.611645342023727</v>
      </c>
    </row>
    <row r="238" spans="1:45" x14ac:dyDescent="0.25">
      <c r="A238" t="s">
        <v>547</v>
      </c>
      <c r="B238" t="s">
        <v>548</v>
      </c>
      <c r="C238" t="s">
        <v>81</v>
      </c>
      <c r="D238">
        <v>18.28</v>
      </c>
      <c r="E238" s="2">
        <f t="shared" si="32"/>
        <v>1106.3056000000001</v>
      </c>
      <c r="F238">
        <v>42.57</v>
      </c>
      <c r="G238" s="2">
        <f t="shared" si="33"/>
        <v>2576.3364000000001</v>
      </c>
      <c r="H238">
        <v>19.55</v>
      </c>
      <c r="I238" s="2">
        <f t="shared" si="34"/>
        <v>1183.1660000000002</v>
      </c>
      <c r="J238">
        <v>12.29</v>
      </c>
      <c r="K238" s="2">
        <f t="shared" si="35"/>
        <v>743.79079999999999</v>
      </c>
      <c r="L238">
        <v>5.41</v>
      </c>
      <c r="M238" s="2">
        <f t="shared" si="36"/>
        <v>327.41320000000002</v>
      </c>
      <c r="N238">
        <v>0.61</v>
      </c>
      <c r="O238" s="2">
        <f t="shared" si="37"/>
        <v>36.917200000000001</v>
      </c>
      <c r="P238">
        <v>0.79</v>
      </c>
      <c r="Q238" s="2">
        <f t="shared" si="38"/>
        <v>47.8108</v>
      </c>
      <c r="R238">
        <v>0.52</v>
      </c>
      <c r="S238" s="3">
        <f t="shared" si="39"/>
        <v>31.470399999999998</v>
      </c>
      <c r="T238" t="s">
        <v>82</v>
      </c>
      <c r="U238" s="4">
        <f t="shared" si="40"/>
        <v>6053.2103999999999</v>
      </c>
      <c r="V238" s="4">
        <f t="shared" si="41"/>
        <v>1.210399999999936</v>
      </c>
      <c r="W238">
        <v>6052</v>
      </c>
      <c r="X238">
        <v>2971</v>
      </c>
      <c r="Y238">
        <v>3081</v>
      </c>
      <c r="Z238">
        <v>199</v>
      </c>
      <c r="AA238">
        <v>877</v>
      </c>
      <c r="AB238">
        <v>1031</v>
      </c>
      <c r="AC238">
        <v>981</v>
      </c>
      <c r="AD238">
        <v>1099</v>
      </c>
      <c r="AE238">
        <v>958</v>
      </c>
      <c r="AF238">
        <v>541</v>
      </c>
      <c r="AG238">
        <v>312</v>
      </c>
      <c r="AH238">
        <v>54</v>
      </c>
      <c r="AI238" s="5">
        <v>49.091209517514898</v>
      </c>
      <c r="AJ238" s="5">
        <v>50.908790482485102</v>
      </c>
      <c r="AK238" s="5">
        <v>3.2881692002643801</v>
      </c>
      <c r="AL238" s="5">
        <v>14.4910773298083</v>
      </c>
      <c r="AM238" s="5">
        <v>17.035690680766699</v>
      </c>
      <c r="AN238" s="5">
        <v>16.209517514871099</v>
      </c>
      <c r="AO238" s="5">
        <v>18.159286186384701</v>
      </c>
      <c r="AP238" s="5">
        <v>15.8294778585592</v>
      </c>
      <c r="AQ238" s="5">
        <v>8.9391936549900901</v>
      </c>
      <c r="AR238" s="5">
        <v>5.1553205551883696</v>
      </c>
      <c r="AS238" s="5">
        <v>0.89226701916721796</v>
      </c>
    </row>
    <row r="239" spans="1:45" x14ac:dyDescent="0.25">
      <c r="A239" t="s">
        <v>549</v>
      </c>
      <c r="B239" t="s">
        <v>550</v>
      </c>
      <c r="C239" t="s">
        <v>233</v>
      </c>
      <c r="D239">
        <v>32.409999999999997</v>
      </c>
      <c r="E239" s="2">
        <f t="shared" si="32"/>
        <v>42744.2526</v>
      </c>
      <c r="F239">
        <v>20.7</v>
      </c>
      <c r="G239" s="2">
        <f t="shared" si="33"/>
        <v>27300.401999999998</v>
      </c>
      <c r="H239">
        <v>19.510000000000002</v>
      </c>
      <c r="I239" s="2">
        <f t="shared" si="34"/>
        <v>25730.958600000002</v>
      </c>
      <c r="J239">
        <v>13.08</v>
      </c>
      <c r="K239" s="2">
        <f t="shared" si="35"/>
        <v>17250.6888</v>
      </c>
      <c r="L239">
        <v>10.35</v>
      </c>
      <c r="M239" s="2">
        <f t="shared" si="36"/>
        <v>13650.200999999999</v>
      </c>
      <c r="N239">
        <v>1.27</v>
      </c>
      <c r="O239" s="2">
        <f t="shared" si="37"/>
        <v>1674.9521999999999</v>
      </c>
      <c r="P239">
        <v>1.92</v>
      </c>
      <c r="Q239" s="2">
        <f t="shared" si="38"/>
        <v>2532.2111999999997</v>
      </c>
      <c r="R239">
        <v>0.77</v>
      </c>
      <c r="S239" s="3">
        <f t="shared" si="39"/>
        <v>1015.5222</v>
      </c>
      <c r="T239" t="s">
        <v>234</v>
      </c>
      <c r="U239" s="4">
        <f t="shared" si="40"/>
        <v>131899.18859999999</v>
      </c>
      <c r="V239" s="4">
        <f t="shared" si="41"/>
        <v>13.18859999999404</v>
      </c>
      <c r="W239">
        <v>131886</v>
      </c>
      <c r="X239">
        <v>67028</v>
      </c>
      <c r="Y239">
        <v>64858</v>
      </c>
      <c r="Z239">
        <v>4411</v>
      </c>
      <c r="AA239">
        <v>22979</v>
      </c>
      <c r="AB239">
        <v>25685</v>
      </c>
      <c r="AC239">
        <v>20575</v>
      </c>
      <c r="AD239">
        <v>20811</v>
      </c>
      <c r="AE239">
        <v>19695</v>
      </c>
      <c r="AF239">
        <v>11236</v>
      </c>
      <c r="AG239">
        <v>5406</v>
      </c>
      <c r="AH239">
        <v>1088</v>
      </c>
      <c r="AI239" s="5">
        <v>50.822680193500403</v>
      </c>
      <c r="AJ239" s="5">
        <v>49.177319806499597</v>
      </c>
      <c r="AK239" s="5">
        <v>3.3445551461110399</v>
      </c>
      <c r="AL239" s="5">
        <v>17.423380798568498</v>
      </c>
      <c r="AM239" s="5">
        <v>19.475152783464502</v>
      </c>
      <c r="AN239" s="5">
        <v>15.600594452785</v>
      </c>
      <c r="AO239" s="5">
        <v>15.779536872753701</v>
      </c>
      <c r="AP239" s="5">
        <v>14.933351530867601</v>
      </c>
      <c r="AQ239" s="5">
        <v>8.5194789439364307</v>
      </c>
      <c r="AR239" s="5">
        <v>4.0989945862335704</v>
      </c>
      <c r="AS239" s="5">
        <v>0.82495488527971095</v>
      </c>
    </row>
    <row r="240" spans="1:45" x14ac:dyDescent="0.25">
      <c r="A240" t="s">
        <v>551</v>
      </c>
      <c r="B240" t="s">
        <v>552</v>
      </c>
      <c r="C240" t="s">
        <v>147</v>
      </c>
      <c r="D240">
        <v>19.07</v>
      </c>
      <c r="E240" s="2">
        <f t="shared" si="32"/>
        <v>2029.2386999999999</v>
      </c>
      <c r="F240">
        <v>35.229999999999997</v>
      </c>
      <c r="G240" s="2">
        <f t="shared" si="33"/>
        <v>3748.8242999999998</v>
      </c>
      <c r="H240">
        <v>19.510000000000002</v>
      </c>
      <c r="I240" s="2">
        <f t="shared" si="34"/>
        <v>2076.0590999999999</v>
      </c>
      <c r="J240">
        <v>14.91</v>
      </c>
      <c r="K240" s="2">
        <f t="shared" si="35"/>
        <v>1586.5731000000001</v>
      </c>
      <c r="L240">
        <v>8.8000000000000007</v>
      </c>
      <c r="M240" s="2">
        <f t="shared" si="36"/>
        <v>936.40800000000002</v>
      </c>
      <c r="N240">
        <v>0.8</v>
      </c>
      <c r="O240" s="2">
        <f t="shared" si="37"/>
        <v>85.128000000000014</v>
      </c>
      <c r="P240">
        <v>1.28</v>
      </c>
      <c r="Q240" s="2">
        <f t="shared" si="38"/>
        <v>136.20480000000001</v>
      </c>
      <c r="R240">
        <v>0.41</v>
      </c>
      <c r="S240" s="3">
        <f t="shared" si="39"/>
        <v>43.628099999999996</v>
      </c>
      <c r="T240" t="s">
        <v>148</v>
      </c>
      <c r="U240" s="4">
        <f t="shared" si="40"/>
        <v>10642.0641</v>
      </c>
      <c r="V240" s="4">
        <f t="shared" si="41"/>
        <v>1.0640999999995984</v>
      </c>
      <c r="W240">
        <v>10641</v>
      </c>
      <c r="X240">
        <v>5309</v>
      </c>
      <c r="Y240">
        <v>5332</v>
      </c>
      <c r="Z240">
        <v>314</v>
      </c>
      <c r="AA240">
        <v>1514</v>
      </c>
      <c r="AB240">
        <v>1871</v>
      </c>
      <c r="AC240">
        <v>1747</v>
      </c>
      <c r="AD240">
        <v>1926</v>
      </c>
      <c r="AE240">
        <v>1661</v>
      </c>
      <c r="AF240">
        <v>1060</v>
      </c>
      <c r="AG240">
        <v>454</v>
      </c>
      <c r="AH240">
        <v>94</v>
      </c>
      <c r="AI240" s="5">
        <v>49.891927450427602</v>
      </c>
      <c r="AJ240" s="5">
        <v>50.108072549572398</v>
      </c>
      <c r="AK240" s="5">
        <v>2.9508504839770699</v>
      </c>
      <c r="AL240" s="5">
        <v>14.2279860915328</v>
      </c>
      <c r="AM240" s="5">
        <v>17.582933934780598</v>
      </c>
      <c r="AN240" s="5">
        <v>16.417629921999801</v>
      </c>
      <c r="AO240" s="5">
        <v>18.0998026501269</v>
      </c>
      <c r="AP240" s="5">
        <v>15.6094352034583</v>
      </c>
      <c r="AQ240" s="5">
        <v>9.9614697866741793</v>
      </c>
      <c r="AR240" s="5">
        <v>4.2665163048585697</v>
      </c>
      <c r="AS240" s="5">
        <v>0.88337562259186198</v>
      </c>
    </row>
    <row r="241" spans="1:45" x14ac:dyDescent="0.25">
      <c r="A241" t="s">
        <v>553</v>
      </c>
      <c r="B241" t="s">
        <v>554</v>
      </c>
      <c r="C241" t="s">
        <v>207</v>
      </c>
      <c r="D241">
        <v>15.21</v>
      </c>
      <c r="E241" s="2">
        <f t="shared" si="32"/>
        <v>1926.4986000000001</v>
      </c>
      <c r="F241">
        <v>37.65</v>
      </c>
      <c r="G241" s="2">
        <f t="shared" si="33"/>
        <v>4768.7489999999998</v>
      </c>
      <c r="H241">
        <v>19.48</v>
      </c>
      <c r="I241" s="2">
        <f t="shared" si="34"/>
        <v>2467.3368</v>
      </c>
      <c r="J241">
        <v>16.420000000000002</v>
      </c>
      <c r="K241" s="2">
        <f t="shared" si="35"/>
        <v>2079.7572000000005</v>
      </c>
      <c r="L241">
        <v>9.19</v>
      </c>
      <c r="M241" s="2">
        <f t="shared" si="36"/>
        <v>1164.0054</v>
      </c>
      <c r="N241">
        <v>0.63</v>
      </c>
      <c r="O241" s="2">
        <f t="shared" si="37"/>
        <v>79.7958</v>
      </c>
      <c r="P241">
        <v>1</v>
      </c>
      <c r="Q241" s="2">
        <f t="shared" si="38"/>
        <v>126.66</v>
      </c>
      <c r="R241">
        <v>0.4</v>
      </c>
      <c r="S241" s="3">
        <f t="shared" si="39"/>
        <v>50.664000000000009</v>
      </c>
      <c r="T241" t="s">
        <v>208</v>
      </c>
      <c r="U241" s="4">
        <f t="shared" si="40"/>
        <v>12663.4668</v>
      </c>
      <c r="V241" s="4">
        <f t="shared" si="41"/>
        <v>-2.5331999999998516</v>
      </c>
      <c r="W241">
        <v>12666</v>
      </c>
      <c r="X241">
        <v>6340</v>
      </c>
      <c r="Y241">
        <v>6326</v>
      </c>
      <c r="Z241">
        <v>346</v>
      </c>
      <c r="AA241">
        <v>1871</v>
      </c>
      <c r="AB241">
        <v>2140</v>
      </c>
      <c r="AC241">
        <v>2054</v>
      </c>
      <c r="AD241">
        <v>2454</v>
      </c>
      <c r="AE241">
        <v>1932</v>
      </c>
      <c r="AF241">
        <v>1152</v>
      </c>
      <c r="AG241">
        <v>600</v>
      </c>
      <c r="AH241">
        <v>117</v>
      </c>
      <c r="AI241" s="5">
        <v>50.055266066635099</v>
      </c>
      <c r="AJ241" s="5">
        <v>49.944733933364901</v>
      </c>
      <c r="AK241" s="5">
        <v>2.7317227222485401</v>
      </c>
      <c r="AL241" s="5">
        <v>14.771830096320899</v>
      </c>
      <c r="AM241" s="5">
        <v>16.895626085583501</v>
      </c>
      <c r="AN241" s="5">
        <v>16.2166429812095</v>
      </c>
      <c r="AO241" s="5">
        <v>19.374703931785898</v>
      </c>
      <c r="AP241" s="5">
        <v>15.2534343912838</v>
      </c>
      <c r="AQ241" s="5">
        <v>9.0952155376598807</v>
      </c>
      <c r="AR241" s="5">
        <v>4.73709142586452</v>
      </c>
      <c r="AS241" s="5">
        <v>0.92373282804358103</v>
      </c>
    </row>
    <row r="242" spans="1:45" x14ac:dyDescent="0.25">
      <c r="A242" t="s">
        <v>555</v>
      </c>
      <c r="B242" t="s">
        <v>556</v>
      </c>
      <c r="C242" t="s">
        <v>199</v>
      </c>
      <c r="D242">
        <v>17.27</v>
      </c>
      <c r="E242" s="2">
        <f t="shared" si="32"/>
        <v>2685.1396000000004</v>
      </c>
      <c r="F242">
        <v>35.15</v>
      </c>
      <c r="G242" s="2">
        <f t="shared" si="33"/>
        <v>5465.1219999999994</v>
      </c>
      <c r="H242">
        <v>19.43</v>
      </c>
      <c r="I242" s="2">
        <f t="shared" si="34"/>
        <v>3020.9764</v>
      </c>
      <c r="J242">
        <v>18.12</v>
      </c>
      <c r="K242" s="2">
        <f t="shared" si="35"/>
        <v>2817.2975999999999</v>
      </c>
      <c r="L242">
        <v>7.89</v>
      </c>
      <c r="M242" s="2">
        <f t="shared" si="36"/>
        <v>1226.7372</v>
      </c>
      <c r="N242">
        <v>0.69</v>
      </c>
      <c r="O242" s="2">
        <f t="shared" si="37"/>
        <v>107.28119999999998</v>
      </c>
      <c r="P242">
        <v>0.89</v>
      </c>
      <c r="Q242" s="2">
        <f t="shared" si="38"/>
        <v>138.37719999999999</v>
      </c>
      <c r="R242">
        <v>0.56000000000000005</v>
      </c>
      <c r="S242" s="3">
        <f t="shared" si="39"/>
        <v>87.06880000000001</v>
      </c>
      <c r="T242" t="s">
        <v>200</v>
      </c>
      <c r="U242" s="4">
        <f t="shared" si="40"/>
        <v>15548</v>
      </c>
      <c r="V242" s="4">
        <f t="shared" si="41"/>
        <v>0</v>
      </c>
      <c r="W242">
        <v>15548</v>
      </c>
      <c r="X242">
        <v>7832</v>
      </c>
      <c r="Y242">
        <v>7716</v>
      </c>
      <c r="Z242">
        <v>474</v>
      </c>
      <c r="AA242">
        <v>2460</v>
      </c>
      <c r="AB242">
        <v>2862</v>
      </c>
      <c r="AC242">
        <v>2371</v>
      </c>
      <c r="AD242">
        <v>2860</v>
      </c>
      <c r="AE242">
        <v>2371</v>
      </c>
      <c r="AF242">
        <v>1358</v>
      </c>
      <c r="AG242">
        <v>672</v>
      </c>
      <c r="AH242">
        <v>120</v>
      </c>
      <c r="AI242" s="5">
        <v>50.3730383329045</v>
      </c>
      <c r="AJ242" s="5">
        <v>49.6269616670955</v>
      </c>
      <c r="AK242" s="5">
        <v>3.0486236171854899</v>
      </c>
      <c r="AL242" s="5">
        <v>15.821970671469</v>
      </c>
      <c r="AM242" s="5">
        <v>18.4075122202212</v>
      </c>
      <c r="AN242" s="5">
        <v>15.249549781322401</v>
      </c>
      <c r="AO242" s="5">
        <v>18.3946488294314</v>
      </c>
      <c r="AP242" s="5">
        <v>15.249549781322401</v>
      </c>
      <c r="AQ242" s="5">
        <v>8.7342423462824801</v>
      </c>
      <c r="AR242" s="5">
        <v>4.3220993053769003</v>
      </c>
      <c r="AS242" s="5">
        <v>0.77180344738873197</v>
      </c>
    </row>
    <row r="243" spans="1:45" x14ac:dyDescent="0.25">
      <c r="A243" t="s">
        <v>557</v>
      </c>
      <c r="B243" t="s">
        <v>558</v>
      </c>
      <c r="C243" t="s">
        <v>559</v>
      </c>
      <c r="D243">
        <v>30.36</v>
      </c>
      <c r="E243" s="2">
        <f t="shared" si="32"/>
        <v>299.04599999999999</v>
      </c>
      <c r="F243">
        <v>20.66</v>
      </c>
      <c r="G243" s="2">
        <f t="shared" si="33"/>
        <v>203.50099999999998</v>
      </c>
      <c r="H243">
        <v>19.39</v>
      </c>
      <c r="I243" s="2">
        <f t="shared" si="34"/>
        <v>190.9915</v>
      </c>
      <c r="J243">
        <v>13.01</v>
      </c>
      <c r="K243" s="2">
        <f t="shared" si="35"/>
        <v>128.14850000000001</v>
      </c>
      <c r="L243">
        <v>13.27</v>
      </c>
      <c r="M243" s="2">
        <f t="shared" si="36"/>
        <v>130.70949999999999</v>
      </c>
      <c r="N243">
        <v>0.51</v>
      </c>
      <c r="O243" s="2">
        <f t="shared" si="37"/>
        <v>5.0235000000000003</v>
      </c>
      <c r="P243">
        <v>2.04</v>
      </c>
      <c r="Q243" s="2">
        <f t="shared" si="38"/>
        <v>20.094000000000001</v>
      </c>
      <c r="R243">
        <v>0.77</v>
      </c>
      <c r="S243" s="3">
        <f t="shared" si="39"/>
        <v>7.5845000000000002</v>
      </c>
      <c r="T243" t="s">
        <v>560</v>
      </c>
      <c r="U243" s="4">
        <f t="shared" si="40"/>
        <v>985.09850000000006</v>
      </c>
      <c r="V243" s="4">
        <f t="shared" si="41"/>
        <v>9.8500000000058208E-2</v>
      </c>
      <c r="W243">
        <v>985</v>
      </c>
      <c r="X243">
        <v>336</v>
      </c>
      <c r="Y243">
        <v>649</v>
      </c>
      <c r="Z243">
        <v>17</v>
      </c>
      <c r="AA243">
        <v>101</v>
      </c>
      <c r="AB243">
        <v>180</v>
      </c>
      <c r="AC243">
        <v>231</v>
      </c>
      <c r="AD243">
        <v>206</v>
      </c>
      <c r="AE243">
        <v>149</v>
      </c>
      <c r="AF243">
        <v>75</v>
      </c>
      <c r="AG243">
        <v>24</v>
      </c>
      <c r="AH243">
        <v>2</v>
      </c>
      <c r="AI243" s="5">
        <v>34.111675126903499</v>
      </c>
      <c r="AJ243" s="5">
        <v>65.888324873096494</v>
      </c>
      <c r="AK243" s="5">
        <v>1.7258883248731001</v>
      </c>
      <c r="AL243" s="5">
        <v>10.253807106599</v>
      </c>
      <c r="AM243" s="5">
        <v>18.2741116751269</v>
      </c>
      <c r="AN243" s="5">
        <v>23.451776649746201</v>
      </c>
      <c r="AO243" s="5">
        <v>20.9137055837563</v>
      </c>
      <c r="AP243" s="5">
        <v>15.126903553299501</v>
      </c>
      <c r="AQ243" s="5">
        <v>7.6142131979695398</v>
      </c>
      <c r="AR243" s="5">
        <v>2.43654822335025</v>
      </c>
      <c r="AS243" s="5">
        <v>0.20304568527918801</v>
      </c>
    </row>
    <row r="244" spans="1:45" x14ac:dyDescent="0.25">
      <c r="A244" t="s">
        <v>561</v>
      </c>
      <c r="B244" t="s">
        <v>562</v>
      </c>
      <c r="C244" t="s">
        <v>217</v>
      </c>
      <c r="D244">
        <v>23.8</v>
      </c>
      <c r="E244" s="2">
        <f t="shared" si="32"/>
        <v>1829.5060000000001</v>
      </c>
      <c r="F244">
        <v>28.01</v>
      </c>
      <c r="G244" s="2">
        <f t="shared" si="33"/>
        <v>2153.1287000000002</v>
      </c>
      <c r="H244">
        <v>19.28</v>
      </c>
      <c r="I244" s="2">
        <f t="shared" si="34"/>
        <v>1482.0536000000002</v>
      </c>
      <c r="J244">
        <v>15.08</v>
      </c>
      <c r="K244" s="2">
        <f t="shared" si="35"/>
        <v>1159.1996000000001</v>
      </c>
      <c r="L244">
        <v>10.84</v>
      </c>
      <c r="M244" s="2">
        <f t="shared" si="36"/>
        <v>833.27080000000001</v>
      </c>
      <c r="N244">
        <v>1.31</v>
      </c>
      <c r="O244" s="2">
        <f t="shared" si="37"/>
        <v>100.69970000000001</v>
      </c>
      <c r="P244">
        <v>1.26</v>
      </c>
      <c r="Q244" s="2">
        <f t="shared" si="38"/>
        <v>96.856200000000001</v>
      </c>
      <c r="R244">
        <v>0.43</v>
      </c>
      <c r="S244" s="3">
        <f t="shared" si="39"/>
        <v>33.054099999999998</v>
      </c>
      <c r="T244" t="s">
        <v>218</v>
      </c>
      <c r="U244" s="4">
        <f t="shared" si="40"/>
        <v>7687.7687000000005</v>
      </c>
      <c r="V244" s="4">
        <f t="shared" si="41"/>
        <v>0.76870000000053551</v>
      </c>
      <c r="W244">
        <v>7687</v>
      </c>
      <c r="X244">
        <v>3814</v>
      </c>
      <c r="Y244">
        <v>3873</v>
      </c>
      <c r="Z244">
        <v>205</v>
      </c>
      <c r="AA244">
        <v>1134</v>
      </c>
      <c r="AB244">
        <v>1370</v>
      </c>
      <c r="AC244">
        <v>1237</v>
      </c>
      <c r="AD244">
        <v>1305</v>
      </c>
      <c r="AE244">
        <v>1235</v>
      </c>
      <c r="AF244">
        <v>779</v>
      </c>
      <c r="AG244">
        <v>369</v>
      </c>
      <c r="AH244">
        <v>53</v>
      </c>
      <c r="AI244" s="5">
        <v>49.616235202289602</v>
      </c>
      <c r="AJ244" s="5">
        <v>50.383764797710398</v>
      </c>
      <c r="AK244" s="5">
        <v>2.6668401196825799</v>
      </c>
      <c r="AL244" s="5">
        <v>14.752179003512399</v>
      </c>
      <c r="AM244" s="5">
        <v>17.8222973851958</v>
      </c>
      <c r="AN244" s="5">
        <v>16.092103551450499</v>
      </c>
      <c r="AO244" s="5">
        <v>16.976713932613499</v>
      </c>
      <c r="AP244" s="5">
        <v>16.066085599063399</v>
      </c>
      <c r="AQ244" s="5">
        <v>10.1339924547938</v>
      </c>
      <c r="AR244" s="5">
        <v>4.8003122154286499</v>
      </c>
      <c r="AS244" s="5">
        <v>0.68947573825939901</v>
      </c>
    </row>
    <row r="245" spans="1:45" x14ac:dyDescent="0.25">
      <c r="A245" t="s">
        <v>563</v>
      </c>
      <c r="B245" t="s">
        <v>564</v>
      </c>
      <c r="C245" t="s">
        <v>217</v>
      </c>
      <c r="D245">
        <v>25.21</v>
      </c>
      <c r="E245" s="2">
        <f t="shared" si="32"/>
        <v>10822.400900000001</v>
      </c>
      <c r="F245">
        <v>25.18</v>
      </c>
      <c r="G245" s="2">
        <f t="shared" si="33"/>
        <v>10809.522199999999</v>
      </c>
      <c r="H245">
        <v>19.239999999999998</v>
      </c>
      <c r="I245" s="2">
        <f t="shared" si="34"/>
        <v>8259.5396000000001</v>
      </c>
      <c r="J245">
        <v>14.41</v>
      </c>
      <c r="K245" s="2">
        <f t="shared" si="35"/>
        <v>6186.0689000000002</v>
      </c>
      <c r="L245">
        <v>13.04</v>
      </c>
      <c r="M245" s="2">
        <f t="shared" si="36"/>
        <v>5597.9415999999992</v>
      </c>
      <c r="N245">
        <v>1.07</v>
      </c>
      <c r="O245" s="2">
        <f t="shared" si="37"/>
        <v>459.34030000000007</v>
      </c>
      <c r="P245">
        <v>1.33</v>
      </c>
      <c r="Q245" s="2">
        <f t="shared" si="38"/>
        <v>570.95569999999998</v>
      </c>
      <c r="R245">
        <v>0.52</v>
      </c>
      <c r="S245" s="3">
        <f t="shared" si="39"/>
        <v>223.23080000000002</v>
      </c>
      <c r="T245" t="s">
        <v>218</v>
      </c>
      <c r="U245" s="4">
        <f t="shared" si="40"/>
        <v>42929</v>
      </c>
      <c r="V245" s="4">
        <f t="shared" si="41"/>
        <v>0</v>
      </c>
      <c r="W245">
        <v>42929</v>
      </c>
      <c r="X245">
        <v>21822</v>
      </c>
      <c r="Y245">
        <v>21107</v>
      </c>
      <c r="Z245">
        <v>1292</v>
      </c>
      <c r="AA245">
        <v>6486</v>
      </c>
      <c r="AB245">
        <v>7696</v>
      </c>
      <c r="AC245">
        <v>6898</v>
      </c>
      <c r="AD245">
        <v>7165</v>
      </c>
      <c r="AE245">
        <v>6909</v>
      </c>
      <c r="AF245">
        <v>4248</v>
      </c>
      <c r="AG245">
        <v>1832</v>
      </c>
      <c r="AH245">
        <v>403</v>
      </c>
      <c r="AI245" s="5">
        <v>50.832770388315602</v>
      </c>
      <c r="AJ245" s="5">
        <v>49.167229611684398</v>
      </c>
      <c r="AK245" s="5">
        <v>3.0096205362342499</v>
      </c>
      <c r="AL245" s="5">
        <v>15.1086678003215</v>
      </c>
      <c r="AM245" s="5">
        <v>17.927275268466499</v>
      </c>
      <c r="AN245" s="5">
        <v>16.0683919960866</v>
      </c>
      <c r="AO245" s="5">
        <v>16.690349181206201</v>
      </c>
      <c r="AP245" s="5">
        <v>16.0940157003424</v>
      </c>
      <c r="AQ245" s="5">
        <v>9.8954086980828802</v>
      </c>
      <c r="AR245" s="5">
        <v>4.2675114724312202</v>
      </c>
      <c r="AS245" s="5">
        <v>0.93875934682848405</v>
      </c>
    </row>
    <row r="246" spans="1:45" x14ac:dyDescent="0.25">
      <c r="A246" t="s">
        <v>565</v>
      </c>
      <c r="B246" t="s">
        <v>566</v>
      </c>
      <c r="C246" t="s">
        <v>217</v>
      </c>
      <c r="D246">
        <v>21.59</v>
      </c>
      <c r="E246" s="2">
        <f t="shared" si="32"/>
        <v>7278.2048999999997</v>
      </c>
      <c r="F246">
        <v>28.54</v>
      </c>
      <c r="G246" s="2">
        <f t="shared" si="33"/>
        <v>9621.1193999999996</v>
      </c>
      <c r="H246">
        <v>19.22</v>
      </c>
      <c r="I246" s="2">
        <f t="shared" si="34"/>
        <v>6479.2541999999994</v>
      </c>
      <c r="J246">
        <v>14.71</v>
      </c>
      <c r="K246" s="2">
        <f t="shared" si="35"/>
        <v>4958.8881000000001</v>
      </c>
      <c r="L246">
        <v>13.23</v>
      </c>
      <c r="M246" s="2">
        <f t="shared" si="36"/>
        <v>4459.9652999999998</v>
      </c>
      <c r="N246">
        <v>1.05</v>
      </c>
      <c r="O246" s="2">
        <f t="shared" si="37"/>
        <v>353.96550000000002</v>
      </c>
      <c r="P246">
        <v>1.1399999999999999</v>
      </c>
      <c r="Q246" s="2">
        <f t="shared" si="38"/>
        <v>384.30539999999996</v>
      </c>
      <c r="R246">
        <v>0.52</v>
      </c>
      <c r="S246" s="3">
        <f t="shared" si="39"/>
        <v>175.2972</v>
      </c>
      <c r="T246" t="s">
        <v>218</v>
      </c>
      <c r="U246" s="4">
        <f t="shared" si="40"/>
        <v>33711</v>
      </c>
      <c r="V246" s="4">
        <f t="shared" si="41"/>
        <v>0</v>
      </c>
      <c r="W246">
        <v>33711</v>
      </c>
      <c r="X246">
        <v>17303</v>
      </c>
      <c r="Y246">
        <v>16408</v>
      </c>
      <c r="Z246">
        <v>1021</v>
      </c>
      <c r="AA246">
        <v>5178</v>
      </c>
      <c r="AB246">
        <v>6293</v>
      </c>
      <c r="AC246">
        <v>5569</v>
      </c>
      <c r="AD246">
        <v>5867</v>
      </c>
      <c r="AE246">
        <v>5028</v>
      </c>
      <c r="AF246">
        <v>3077</v>
      </c>
      <c r="AG246">
        <v>1393</v>
      </c>
      <c r="AH246">
        <v>285</v>
      </c>
      <c r="AI246" s="5">
        <v>51.327459879564501</v>
      </c>
      <c r="AJ246" s="5">
        <v>48.672540120435499</v>
      </c>
      <c r="AK246" s="5">
        <v>3.0286849989617601</v>
      </c>
      <c r="AL246" s="5">
        <v>15.359971522648401</v>
      </c>
      <c r="AM246" s="5">
        <v>18.667497256088499</v>
      </c>
      <c r="AN246" s="5">
        <v>16.519830322446701</v>
      </c>
      <c r="AO246" s="5">
        <v>17.4038147785589</v>
      </c>
      <c r="AP246" s="5">
        <v>14.9150129037999</v>
      </c>
      <c r="AQ246" s="5">
        <v>9.12758446797781</v>
      </c>
      <c r="AR246" s="5">
        <v>4.13218237370591</v>
      </c>
      <c r="AS246" s="5">
        <v>0.84542137581205001</v>
      </c>
    </row>
    <row r="247" spans="1:45" x14ac:dyDescent="0.25">
      <c r="A247" t="s">
        <v>567</v>
      </c>
      <c r="B247" t="s">
        <v>568</v>
      </c>
      <c r="C247" t="s">
        <v>93</v>
      </c>
      <c r="D247">
        <v>14.05</v>
      </c>
      <c r="E247" s="2">
        <f t="shared" si="32"/>
        <v>2385.69</v>
      </c>
      <c r="F247">
        <v>33.67</v>
      </c>
      <c r="G247" s="2">
        <f t="shared" si="33"/>
        <v>5717.1660000000002</v>
      </c>
      <c r="H247">
        <v>19.22</v>
      </c>
      <c r="I247" s="2">
        <f t="shared" si="34"/>
        <v>3263.5559999999996</v>
      </c>
      <c r="J247">
        <v>23.6</v>
      </c>
      <c r="K247" s="2">
        <f t="shared" si="35"/>
        <v>4007.28</v>
      </c>
      <c r="L247">
        <v>7.54</v>
      </c>
      <c r="M247" s="2">
        <f t="shared" si="36"/>
        <v>1280.2919999999999</v>
      </c>
      <c r="N247">
        <v>0.64</v>
      </c>
      <c r="O247" s="2">
        <f t="shared" si="37"/>
        <v>108.67200000000001</v>
      </c>
      <c r="P247">
        <v>0.93</v>
      </c>
      <c r="Q247" s="2">
        <f t="shared" si="38"/>
        <v>157.91400000000002</v>
      </c>
      <c r="R247">
        <v>0.36</v>
      </c>
      <c r="S247" s="3">
        <f t="shared" si="39"/>
        <v>61.128</v>
      </c>
      <c r="T247" t="s">
        <v>94</v>
      </c>
      <c r="U247" s="4">
        <f t="shared" si="40"/>
        <v>16981.698</v>
      </c>
      <c r="V247" s="4">
        <f t="shared" si="41"/>
        <v>1.6980000000003201</v>
      </c>
      <c r="W247">
        <v>16980</v>
      </c>
      <c r="X247">
        <v>8376</v>
      </c>
      <c r="Y247">
        <v>8604</v>
      </c>
      <c r="Z247">
        <v>506</v>
      </c>
      <c r="AA247">
        <v>2542</v>
      </c>
      <c r="AB247">
        <v>2936</v>
      </c>
      <c r="AC247">
        <v>2513</v>
      </c>
      <c r="AD247">
        <v>3190</v>
      </c>
      <c r="AE247">
        <v>2646</v>
      </c>
      <c r="AF247">
        <v>1646</v>
      </c>
      <c r="AG247">
        <v>820</v>
      </c>
      <c r="AH247">
        <v>181</v>
      </c>
      <c r="AI247" s="5">
        <v>49.328621908127197</v>
      </c>
      <c r="AJ247" s="5">
        <v>50.671378091872803</v>
      </c>
      <c r="AK247" s="5">
        <v>2.9799764428739701</v>
      </c>
      <c r="AL247" s="5">
        <v>14.9705535924617</v>
      </c>
      <c r="AM247" s="5">
        <v>17.290930506478201</v>
      </c>
      <c r="AN247" s="5">
        <v>14.799764428739699</v>
      </c>
      <c r="AO247" s="5">
        <v>18.786808009422799</v>
      </c>
      <c r="AP247" s="5">
        <v>15.583038869258001</v>
      </c>
      <c r="AQ247" s="5">
        <v>9.6937573616018806</v>
      </c>
      <c r="AR247" s="5">
        <v>4.8292108362779702</v>
      </c>
      <c r="AS247" s="5">
        <v>1.06595995288575</v>
      </c>
    </row>
    <row r="248" spans="1:45" x14ac:dyDescent="0.25">
      <c r="A248" t="s">
        <v>569</v>
      </c>
      <c r="B248" t="s">
        <v>570</v>
      </c>
      <c r="C248" t="s">
        <v>233</v>
      </c>
      <c r="D248">
        <v>34.659999999999997</v>
      </c>
      <c r="E248" s="2">
        <f t="shared" si="32"/>
        <v>54068.906799999997</v>
      </c>
      <c r="F248">
        <v>19</v>
      </c>
      <c r="G248" s="2">
        <f t="shared" si="33"/>
        <v>29639.62</v>
      </c>
      <c r="H248">
        <v>19.059999999999999</v>
      </c>
      <c r="I248" s="2">
        <f t="shared" si="34"/>
        <v>29733.218799999999</v>
      </c>
      <c r="J248">
        <v>11.91</v>
      </c>
      <c r="K248" s="2">
        <f t="shared" si="35"/>
        <v>18579.361799999999</v>
      </c>
      <c r="L248">
        <v>11.99</v>
      </c>
      <c r="M248" s="2">
        <f t="shared" si="36"/>
        <v>18704.160199999998</v>
      </c>
      <c r="N248">
        <v>1.38</v>
      </c>
      <c r="O248" s="2">
        <f t="shared" si="37"/>
        <v>2152.7723999999998</v>
      </c>
      <c r="P248">
        <v>1.22</v>
      </c>
      <c r="Q248" s="2">
        <f t="shared" si="38"/>
        <v>1903.1756</v>
      </c>
      <c r="R248">
        <v>0.79</v>
      </c>
      <c r="S248" s="3">
        <f t="shared" si="39"/>
        <v>1232.3842000000002</v>
      </c>
      <c r="T248" t="s">
        <v>234</v>
      </c>
      <c r="U248" s="4">
        <f t="shared" si="40"/>
        <v>156013.5998</v>
      </c>
      <c r="V248" s="4">
        <f t="shared" si="41"/>
        <v>15.599799999996321</v>
      </c>
      <c r="W248">
        <v>155998</v>
      </c>
      <c r="X248">
        <v>80224</v>
      </c>
      <c r="Y248">
        <v>75774</v>
      </c>
      <c r="Z248">
        <v>5984</v>
      </c>
      <c r="AA248">
        <v>31893</v>
      </c>
      <c r="AB248">
        <v>33762</v>
      </c>
      <c r="AC248">
        <v>27552</v>
      </c>
      <c r="AD248">
        <v>26597</v>
      </c>
      <c r="AE248">
        <v>18995</v>
      </c>
      <c r="AF248">
        <v>8249</v>
      </c>
      <c r="AG248">
        <v>2606</v>
      </c>
      <c r="AH248">
        <v>360</v>
      </c>
      <c r="AI248" s="5">
        <v>51.426300337183797</v>
      </c>
      <c r="AJ248" s="5">
        <v>48.573699662816203</v>
      </c>
      <c r="AK248" s="5">
        <v>3.8359466147001902</v>
      </c>
      <c r="AL248" s="5">
        <v>20.444492878113799</v>
      </c>
      <c r="AM248" s="5">
        <v>21.642585161348201</v>
      </c>
      <c r="AN248" s="5">
        <v>17.661764894421701</v>
      </c>
      <c r="AO248" s="5">
        <v>17.0495775586867</v>
      </c>
      <c r="AP248" s="5">
        <v>12.176438159463601</v>
      </c>
      <c r="AQ248" s="5">
        <v>5.2878883062603403</v>
      </c>
      <c r="AR248" s="5">
        <v>1.67053423761843</v>
      </c>
      <c r="AS248" s="5">
        <v>0.230772189387043</v>
      </c>
    </row>
    <row r="249" spans="1:45" x14ac:dyDescent="0.25">
      <c r="A249" t="s">
        <v>571</v>
      </c>
      <c r="B249" t="s">
        <v>572</v>
      </c>
      <c r="C249" t="s">
        <v>141</v>
      </c>
      <c r="D249">
        <v>18.399999999999999</v>
      </c>
      <c r="E249" s="2">
        <f t="shared" si="32"/>
        <v>1656</v>
      </c>
      <c r="F249">
        <v>36.56</v>
      </c>
      <c r="G249" s="2">
        <f t="shared" si="33"/>
        <v>3290.4</v>
      </c>
      <c r="H249">
        <v>19</v>
      </c>
      <c r="I249" s="2">
        <f t="shared" si="34"/>
        <v>1710</v>
      </c>
      <c r="J249">
        <v>17.95</v>
      </c>
      <c r="K249" s="2">
        <f t="shared" si="35"/>
        <v>1615.5</v>
      </c>
      <c r="L249">
        <v>6.07</v>
      </c>
      <c r="M249" s="2">
        <f t="shared" si="36"/>
        <v>546.29999999999995</v>
      </c>
      <c r="N249">
        <v>0.66</v>
      </c>
      <c r="O249" s="2">
        <f t="shared" si="37"/>
        <v>59.4</v>
      </c>
      <c r="P249">
        <v>0.84</v>
      </c>
      <c r="Q249" s="2">
        <f t="shared" si="38"/>
        <v>75.599999999999994</v>
      </c>
      <c r="R249">
        <v>0.53</v>
      </c>
      <c r="S249" s="3">
        <f t="shared" si="39"/>
        <v>47.7</v>
      </c>
      <c r="T249" t="s">
        <v>142</v>
      </c>
      <c r="U249" s="4">
        <f t="shared" si="40"/>
        <v>9000.9</v>
      </c>
      <c r="V249" s="4">
        <f t="shared" si="41"/>
        <v>0.8999999999996362</v>
      </c>
      <c r="W249">
        <v>9000</v>
      </c>
      <c r="X249">
        <v>4404</v>
      </c>
      <c r="Y249">
        <v>4596</v>
      </c>
      <c r="Z249">
        <v>245</v>
      </c>
      <c r="AA249">
        <v>1324</v>
      </c>
      <c r="AB249">
        <v>1539</v>
      </c>
      <c r="AC249">
        <v>1453</v>
      </c>
      <c r="AD249">
        <v>1691</v>
      </c>
      <c r="AE249">
        <v>1387</v>
      </c>
      <c r="AF249">
        <v>853</v>
      </c>
      <c r="AG249">
        <v>422</v>
      </c>
      <c r="AH249">
        <v>86</v>
      </c>
      <c r="AI249" s="5">
        <v>48.933333333333302</v>
      </c>
      <c r="AJ249" s="5">
        <v>51.066666666666698</v>
      </c>
      <c r="AK249" s="5">
        <v>2.7222222222222201</v>
      </c>
      <c r="AL249" s="5">
        <v>14.7111111111111</v>
      </c>
      <c r="AM249" s="5">
        <v>17.100000000000001</v>
      </c>
      <c r="AN249" s="5">
        <v>16.1444444444444</v>
      </c>
      <c r="AO249" s="5">
        <v>18.788888888888899</v>
      </c>
      <c r="AP249" s="5">
        <v>15.411111111111101</v>
      </c>
      <c r="AQ249" s="5">
        <v>9.4777777777777796</v>
      </c>
      <c r="AR249" s="5">
        <v>4.68888888888889</v>
      </c>
      <c r="AS249" s="5">
        <v>0.95555555555555505</v>
      </c>
    </row>
    <row r="250" spans="1:45" x14ac:dyDescent="0.25">
      <c r="A250" t="s">
        <v>573</v>
      </c>
      <c r="B250" t="s">
        <v>574</v>
      </c>
      <c r="C250" t="s">
        <v>233</v>
      </c>
      <c r="D250">
        <v>25.61</v>
      </c>
      <c r="E250" s="2">
        <f t="shared" si="32"/>
        <v>3389.7396000000003</v>
      </c>
      <c r="F250">
        <v>26.88</v>
      </c>
      <c r="G250" s="2">
        <f t="shared" si="33"/>
        <v>3557.8368</v>
      </c>
      <c r="H250">
        <v>18.989999999999998</v>
      </c>
      <c r="I250" s="2">
        <f t="shared" si="34"/>
        <v>2513.5164</v>
      </c>
      <c r="J250">
        <v>13.78</v>
      </c>
      <c r="K250" s="2">
        <f t="shared" si="35"/>
        <v>1823.9207999999999</v>
      </c>
      <c r="L250">
        <v>11.77</v>
      </c>
      <c r="M250" s="2">
        <f t="shared" si="36"/>
        <v>1557.8771999999999</v>
      </c>
      <c r="N250">
        <v>0.91</v>
      </c>
      <c r="O250" s="2">
        <f t="shared" si="37"/>
        <v>120.44760000000001</v>
      </c>
      <c r="P250">
        <v>1.1100000000000001</v>
      </c>
      <c r="Q250" s="2">
        <f t="shared" si="38"/>
        <v>146.9196</v>
      </c>
      <c r="R250">
        <v>0.93</v>
      </c>
      <c r="S250" s="3">
        <f t="shared" si="39"/>
        <v>123.09480000000002</v>
      </c>
      <c r="T250" t="s">
        <v>234</v>
      </c>
      <c r="U250" s="4">
        <f t="shared" si="40"/>
        <v>13233.352800000001</v>
      </c>
      <c r="V250" s="4">
        <f t="shared" si="41"/>
        <v>-2.6471999999994296</v>
      </c>
      <c r="W250">
        <v>13236</v>
      </c>
      <c r="X250">
        <v>6630</v>
      </c>
      <c r="Y250">
        <v>6606</v>
      </c>
      <c r="Z250">
        <v>420</v>
      </c>
      <c r="AA250">
        <v>1986</v>
      </c>
      <c r="AB250">
        <v>2535</v>
      </c>
      <c r="AC250">
        <v>2198</v>
      </c>
      <c r="AD250">
        <v>2196</v>
      </c>
      <c r="AE250">
        <v>2059</v>
      </c>
      <c r="AF250">
        <v>1238</v>
      </c>
      <c r="AG250">
        <v>510</v>
      </c>
      <c r="AH250">
        <v>94</v>
      </c>
      <c r="AI250" s="5">
        <v>50.090661831368998</v>
      </c>
      <c r="AJ250" s="5">
        <v>49.909338168631002</v>
      </c>
      <c r="AK250" s="5">
        <v>3.1731640979147802</v>
      </c>
      <c r="AL250" s="5">
        <v>15.004533091568501</v>
      </c>
      <c r="AM250" s="5">
        <v>19.152311876699901</v>
      </c>
      <c r="AN250" s="5">
        <v>16.606225445753999</v>
      </c>
      <c r="AO250" s="5">
        <v>16.591115140525801</v>
      </c>
      <c r="AP250" s="5">
        <v>15.5560592323965</v>
      </c>
      <c r="AQ250" s="5">
        <v>9.3532789362345099</v>
      </c>
      <c r="AR250" s="5">
        <v>3.8531278331822301</v>
      </c>
      <c r="AS250" s="5">
        <v>0.71018434572378397</v>
      </c>
    </row>
    <row r="251" spans="1:45" x14ac:dyDescent="0.25">
      <c r="A251" t="s">
        <v>575</v>
      </c>
      <c r="B251" t="s">
        <v>576</v>
      </c>
      <c r="C251" t="s">
        <v>233</v>
      </c>
      <c r="D251">
        <v>35.39</v>
      </c>
      <c r="E251" s="2">
        <f t="shared" si="32"/>
        <v>34399.433900000004</v>
      </c>
      <c r="F251">
        <v>18.98</v>
      </c>
      <c r="G251" s="2">
        <f t="shared" si="33"/>
        <v>18448.749800000001</v>
      </c>
      <c r="H251">
        <v>18.95</v>
      </c>
      <c r="I251" s="2">
        <f t="shared" si="34"/>
        <v>18419.589499999998</v>
      </c>
      <c r="J251">
        <v>12.63</v>
      </c>
      <c r="K251" s="2">
        <f t="shared" si="35"/>
        <v>12276.4863</v>
      </c>
      <c r="L251">
        <v>10.4</v>
      </c>
      <c r="M251" s="2">
        <f t="shared" si="36"/>
        <v>10108.904</v>
      </c>
      <c r="N251">
        <v>1.26</v>
      </c>
      <c r="O251" s="2">
        <f t="shared" si="37"/>
        <v>1224.7326</v>
      </c>
      <c r="P251">
        <v>1.66</v>
      </c>
      <c r="Q251" s="2">
        <f t="shared" si="38"/>
        <v>1613.5366000000001</v>
      </c>
      <c r="R251">
        <v>0.74</v>
      </c>
      <c r="S251" s="3">
        <f t="shared" si="39"/>
        <v>719.28740000000005</v>
      </c>
      <c r="T251" t="s">
        <v>234</v>
      </c>
      <c r="U251" s="4">
        <f t="shared" si="40"/>
        <v>97210.720100000006</v>
      </c>
      <c r="V251" s="4">
        <f t="shared" si="41"/>
        <v>9.7201000000059139</v>
      </c>
      <c r="W251">
        <v>97201</v>
      </c>
      <c r="X251">
        <v>49533</v>
      </c>
      <c r="Y251">
        <v>47668</v>
      </c>
      <c r="Z251">
        <v>2907</v>
      </c>
      <c r="AA251">
        <v>15893</v>
      </c>
      <c r="AB251">
        <v>18789</v>
      </c>
      <c r="AC251">
        <v>15460</v>
      </c>
      <c r="AD251">
        <v>14496</v>
      </c>
      <c r="AE251">
        <v>16375</v>
      </c>
      <c r="AF251">
        <v>9114</v>
      </c>
      <c r="AG251">
        <v>3305</v>
      </c>
      <c r="AH251">
        <v>862</v>
      </c>
      <c r="AI251" s="5">
        <v>50.959352270038401</v>
      </c>
      <c r="AJ251" s="5">
        <v>49.040647729961599</v>
      </c>
      <c r="AK251" s="5">
        <v>2.99070997211963</v>
      </c>
      <c r="AL251" s="5">
        <v>16.350654828654001</v>
      </c>
      <c r="AM251" s="5">
        <v>19.3300480447732</v>
      </c>
      <c r="AN251" s="5">
        <v>15.9051861606362</v>
      </c>
      <c r="AO251" s="5">
        <v>14.9134268165965</v>
      </c>
      <c r="AP251" s="5">
        <v>16.846534500673901</v>
      </c>
      <c r="AQ251" s="5">
        <v>9.3764467443750608</v>
      </c>
      <c r="AR251" s="5">
        <v>3.4001707801360102</v>
      </c>
      <c r="AS251" s="5">
        <v>0.88682215203547299</v>
      </c>
    </row>
    <row r="252" spans="1:45" x14ac:dyDescent="0.25">
      <c r="A252" t="s">
        <v>577</v>
      </c>
      <c r="B252" t="s">
        <v>578</v>
      </c>
      <c r="C252" t="s">
        <v>141</v>
      </c>
      <c r="D252">
        <v>16.55</v>
      </c>
      <c r="E252" s="2">
        <f t="shared" si="32"/>
        <v>2559.7885000000001</v>
      </c>
      <c r="F252">
        <v>35.659999999999997</v>
      </c>
      <c r="G252" s="2">
        <f t="shared" si="33"/>
        <v>5515.5321999999996</v>
      </c>
      <c r="H252">
        <v>18.91</v>
      </c>
      <c r="I252" s="2">
        <f t="shared" si="34"/>
        <v>2924.8097000000002</v>
      </c>
      <c r="J252">
        <v>19</v>
      </c>
      <c r="K252" s="2">
        <f t="shared" si="35"/>
        <v>2938.73</v>
      </c>
      <c r="L252">
        <v>7.69</v>
      </c>
      <c r="M252" s="2">
        <f t="shared" si="36"/>
        <v>1189.4123000000002</v>
      </c>
      <c r="N252">
        <v>0.81</v>
      </c>
      <c r="O252" s="2">
        <f t="shared" si="37"/>
        <v>125.28270000000001</v>
      </c>
      <c r="P252">
        <v>0.91</v>
      </c>
      <c r="Q252" s="2">
        <f t="shared" si="38"/>
        <v>140.74970000000002</v>
      </c>
      <c r="R252">
        <v>0.48</v>
      </c>
      <c r="S252" s="3">
        <f t="shared" si="39"/>
        <v>74.241600000000005</v>
      </c>
      <c r="T252" t="s">
        <v>142</v>
      </c>
      <c r="U252" s="4">
        <f t="shared" si="40"/>
        <v>15468.546700000001</v>
      </c>
      <c r="V252" s="4">
        <f t="shared" si="41"/>
        <v>1.5467000000007829</v>
      </c>
      <c r="W252">
        <v>15467</v>
      </c>
      <c r="X252">
        <v>7803</v>
      </c>
      <c r="Y252">
        <v>7664</v>
      </c>
      <c r="Z252">
        <v>419</v>
      </c>
      <c r="AA252">
        <v>1957</v>
      </c>
      <c r="AB252">
        <v>2522</v>
      </c>
      <c r="AC252">
        <v>2250</v>
      </c>
      <c r="AD252">
        <v>2791</v>
      </c>
      <c r="AE252">
        <v>2555</v>
      </c>
      <c r="AF252">
        <v>1748</v>
      </c>
      <c r="AG252">
        <v>1052</v>
      </c>
      <c r="AH252">
        <v>173</v>
      </c>
      <c r="AI252" s="5">
        <v>50.449343764143002</v>
      </c>
      <c r="AJ252" s="5">
        <v>49.550656235856998</v>
      </c>
      <c r="AK252" s="5">
        <v>2.70899334066076</v>
      </c>
      <c r="AL252" s="5">
        <v>12.652744552919099</v>
      </c>
      <c r="AM252" s="5">
        <v>16.305683067175298</v>
      </c>
      <c r="AN252" s="5">
        <v>14.5471002780112</v>
      </c>
      <c r="AO252" s="5">
        <v>18.044869722635301</v>
      </c>
      <c r="AP252" s="5">
        <v>16.519040537919398</v>
      </c>
      <c r="AQ252" s="5">
        <v>11.3014805715394</v>
      </c>
      <c r="AR252" s="5">
        <v>6.80157755220793</v>
      </c>
      <c r="AS252" s="5">
        <v>1.1185103769315301</v>
      </c>
    </row>
    <row r="253" spans="1:45" x14ac:dyDescent="0.25">
      <c r="A253" t="s">
        <v>579</v>
      </c>
      <c r="B253" t="s">
        <v>580</v>
      </c>
      <c r="C253" t="s">
        <v>147</v>
      </c>
      <c r="D253">
        <v>24.26</v>
      </c>
      <c r="E253" s="2">
        <f t="shared" si="32"/>
        <v>2440.556</v>
      </c>
      <c r="F253">
        <v>31.38</v>
      </c>
      <c r="G253" s="2">
        <f t="shared" si="33"/>
        <v>3156.828</v>
      </c>
      <c r="H253">
        <v>18.89</v>
      </c>
      <c r="I253" s="2">
        <f t="shared" si="34"/>
        <v>1900.3339999999998</v>
      </c>
      <c r="J253">
        <v>11.29</v>
      </c>
      <c r="K253" s="2">
        <f t="shared" si="35"/>
        <v>1135.7739999999999</v>
      </c>
      <c r="L253">
        <v>11.37</v>
      </c>
      <c r="M253" s="2">
        <f t="shared" si="36"/>
        <v>1143.8219999999999</v>
      </c>
      <c r="N253">
        <v>1.1499999999999999</v>
      </c>
      <c r="O253" s="2">
        <f t="shared" si="37"/>
        <v>115.69</v>
      </c>
      <c r="P253">
        <v>1.2</v>
      </c>
      <c r="Q253" s="2">
        <f t="shared" si="38"/>
        <v>120.72</v>
      </c>
      <c r="R253">
        <v>0.45</v>
      </c>
      <c r="S253" s="3">
        <f t="shared" si="39"/>
        <v>45.27</v>
      </c>
      <c r="T253" t="s">
        <v>148</v>
      </c>
      <c r="U253" s="4">
        <f t="shared" si="40"/>
        <v>10058.994000000001</v>
      </c>
      <c r="V253" s="4">
        <f t="shared" si="41"/>
        <v>-1.0059999999994034</v>
      </c>
      <c r="W253">
        <v>10060</v>
      </c>
      <c r="X253">
        <v>4811</v>
      </c>
      <c r="Y253">
        <v>5249</v>
      </c>
      <c r="Z253">
        <v>253</v>
      </c>
      <c r="AA253">
        <v>1259</v>
      </c>
      <c r="AB253">
        <v>1498</v>
      </c>
      <c r="AC253">
        <v>1520</v>
      </c>
      <c r="AD253">
        <v>1831</v>
      </c>
      <c r="AE253">
        <v>1776</v>
      </c>
      <c r="AF253">
        <v>1178</v>
      </c>
      <c r="AG253">
        <v>623</v>
      </c>
      <c r="AH253">
        <v>122</v>
      </c>
      <c r="AI253" s="5">
        <v>47.823061630218703</v>
      </c>
      <c r="AJ253" s="5">
        <v>52.176938369781297</v>
      </c>
      <c r="AK253" s="5">
        <v>2.5149105367793201</v>
      </c>
      <c r="AL253" s="5">
        <v>12.514910536779301</v>
      </c>
      <c r="AM253" s="5">
        <v>14.8906560636183</v>
      </c>
      <c r="AN253" s="5">
        <v>15.1093439363817</v>
      </c>
      <c r="AO253" s="5">
        <v>18.200795228628198</v>
      </c>
      <c r="AP253" s="5">
        <v>17.654075546719699</v>
      </c>
      <c r="AQ253" s="5">
        <v>11.709741550695799</v>
      </c>
      <c r="AR253" s="5">
        <v>6.1928429423459201</v>
      </c>
      <c r="AS253" s="5">
        <v>1.21272365805169</v>
      </c>
    </row>
    <row r="254" spans="1:45" x14ac:dyDescent="0.25">
      <c r="A254" t="s">
        <v>581</v>
      </c>
      <c r="B254" t="s">
        <v>582</v>
      </c>
      <c r="C254" t="s">
        <v>141</v>
      </c>
      <c r="D254">
        <v>25.2</v>
      </c>
      <c r="E254" s="2">
        <f t="shared" si="32"/>
        <v>1996.3440000000001</v>
      </c>
      <c r="F254">
        <v>36.479999999999997</v>
      </c>
      <c r="G254" s="2">
        <f t="shared" si="33"/>
        <v>2889.9456</v>
      </c>
      <c r="H254">
        <v>18.88</v>
      </c>
      <c r="I254" s="2">
        <f t="shared" si="34"/>
        <v>1495.6735999999999</v>
      </c>
      <c r="J254">
        <v>10.38</v>
      </c>
      <c r="K254" s="2">
        <f t="shared" si="35"/>
        <v>822.30359999999996</v>
      </c>
      <c r="L254">
        <v>5.72</v>
      </c>
      <c r="M254" s="2">
        <f t="shared" si="36"/>
        <v>453.13839999999999</v>
      </c>
      <c r="N254">
        <v>0.61</v>
      </c>
      <c r="O254" s="2">
        <f t="shared" si="37"/>
        <v>48.324199999999998</v>
      </c>
      <c r="P254">
        <v>1.93</v>
      </c>
      <c r="Q254" s="2">
        <f t="shared" si="38"/>
        <v>152.8946</v>
      </c>
      <c r="R254">
        <v>0.78</v>
      </c>
      <c r="S254" s="3">
        <f t="shared" si="39"/>
        <v>61.791599999999995</v>
      </c>
      <c r="T254" t="s">
        <v>142</v>
      </c>
      <c r="U254" s="4">
        <f t="shared" si="40"/>
        <v>7920.4155999999994</v>
      </c>
      <c r="V254" s="4">
        <f t="shared" si="41"/>
        <v>-1.5844000000006417</v>
      </c>
      <c r="W254">
        <v>7922</v>
      </c>
      <c r="X254">
        <v>4000</v>
      </c>
      <c r="Y254">
        <v>3922</v>
      </c>
      <c r="Z254">
        <v>275</v>
      </c>
      <c r="AA254">
        <v>1360</v>
      </c>
      <c r="AB254">
        <v>1451</v>
      </c>
      <c r="AC254">
        <v>1349</v>
      </c>
      <c r="AD254">
        <v>1357</v>
      </c>
      <c r="AE254">
        <v>1068</v>
      </c>
      <c r="AF254">
        <v>679</v>
      </c>
      <c r="AG254">
        <v>317</v>
      </c>
      <c r="AH254">
        <v>66</v>
      </c>
      <c r="AI254" s="5">
        <v>50.492299924261602</v>
      </c>
      <c r="AJ254" s="5">
        <v>49.507700075738398</v>
      </c>
      <c r="AK254" s="5">
        <v>3.47134561979298</v>
      </c>
      <c r="AL254" s="5">
        <v>17.167381974248901</v>
      </c>
      <c r="AM254" s="5">
        <v>18.3160817975259</v>
      </c>
      <c r="AN254" s="5">
        <v>17.028528149457198</v>
      </c>
      <c r="AO254" s="5">
        <v>17.1295127493057</v>
      </c>
      <c r="AP254" s="5">
        <v>13.4814440797778</v>
      </c>
      <c r="AQ254" s="5">
        <v>8.5710679121434001</v>
      </c>
      <c r="AR254" s="5">
        <v>4.0015147689977297</v>
      </c>
      <c r="AS254" s="5">
        <v>0.83312294875031501</v>
      </c>
    </row>
    <row r="255" spans="1:45" x14ac:dyDescent="0.25">
      <c r="A255" t="s">
        <v>583</v>
      </c>
      <c r="B255" t="s">
        <v>584</v>
      </c>
      <c r="C255" t="s">
        <v>217</v>
      </c>
      <c r="D255">
        <v>25</v>
      </c>
      <c r="E255" s="2">
        <f t="shared" si="32"/>
        <v>11106</v>
      </c>
      <c r="F255">
        <v>25.07</v>
      </c>
      <c r="G255" s="2">
        <f t="shared" si="33"/>
        <v>11137.096799999999</v>
      </c>
      <c r="H255">
        <v>18.850000000000001</v>
      </c>
      <c r="I255" s="2">
        <f t="shared" si="34"/>
        <v>8373.9240000000009</v>
      </c>
      <c r="J255">
        <v>13.53</v>
      </c>
      <c r="K255" s="2">
        <f t="shared" si="35"/>
        <v>6010.5671999999995</v>
      </c>
      <c r="L255">
        <v>14.52</v>
      </c>
      <c r="M255" s="2">
        <f t="shared" si="36"/>
        <v>6450.3647999999994</v>
      </c>
      <c r="N255">
        <v>1.53</v>
      </c>
      <c r="O255" s="2">
        <f t="shared" si="37"/>
        <v>679.68719999999996</v>
      </c>
      <c r="P255">
        <v>1.08</v>
      </c>
      <c r="Q255" s="2">
        <f t="shared" si="38"/>
        <v>479.77920000000006</v>
      </c>
      <c r="R255">
        <v>0.43</v>
      </c>
      <c r="S255" s="3">
        <f t="shared" si="39"/>
        <v>191.0232</v>
      </c>
      <c r="T255" t="s">
        <v>218</v>
      </c>
      <c r="U255" s="4">
        <f t="shared" si="40"/>
        <v>44428.4424</v>
      </c>
      <c r="V255" s="4">
        <f t="shared" si="41"/>
        <v>4.4423999999999069</v>
      </c>
      <c r="W255">
        <v>44424</v>
      </c>
      <c r="X255">
        <v>22897</v>
      </c>
      <c r="Y255">
        <v>21527</v>
      </c>
      <c r="Z255">
        <v>1707</v>
      </c>
      <c r="AA255">
        <v>7658</v>
      </c>
      <c r="AB255">
        <v>8378</v>
      </c>
      <c r="AC255">
        <v>8793</v>
      </c>
      <c r="AD255">
        <v>7434</v>
      </c>
      <c r="AE255">
        <v>5611</v>
      </c>
      <c r="AF255">
        <v>3380</v>
      </c>
      <c r="AG255">
        <v>1252</v>
      </c>
      <c r="AH255">
        <v>211</v>
      </c>
      <c r="AI255" s="5">
        <v>51.541959301278602</v>
      </c>
      <c r="AJ255" s="5">
        <v>48.458040698721398</v>
      </c>
      <c r="AK255" s="5">
        <v>3.8425175580767199</v>
      </c>
      <c r="AL255" s="5">
        <v>17.238429677651698</v>
      </c>
      <c r="AM255" s="5">
        <v>18.8591752206015</v>
      </c>
      <c r="AN255" s="5">
        <v>19.793354943273901</v>
      </c>
      <c r="AO255" s="5">
        <v>16.7341977309562</v>
      </c>
      <c r="AP255" s="5">
        <v>12.6305600576265</v>
      </c>
      <c r="AQ255" s="5">
        <v>7.6084999099585797</v>
      </c>
      <c r="AR255" s="5">
        <v>2.8182964163515201</v>
      </c>
      <c r="AS255" s="5">
        <v>0.47496848550333198</v>
      </c>
    </row>
    <row r="256" spans="1:45" x14ac:dyDescent="0.25">
      <c r="A256" t="s">
        <v>585</v>
      </c>
      <c r="B256" t="s">
        <v>586</v>
      </c>
      <c r="C256" t="s">
        <v>559</v>
      </c>
      <c r="D256">
        <v>31.11</v>
      </c>
      <c r="E256" s="2">
        <f t="shared" si="32"/>
        <v>1852.2894000000001</v>
      </c>
      <c r="F256">
        <v>26.07</v>
      </c>
      <c r="G256" s="2">
        <f t="shared" si="33"/>
        <v>1552.2077999999999</v>
      </c>
      <c r="H256">
        <v>18.809999999999999</v>
      </c>
      <c r="I256" s="2">
        <f t="shared" si="34"/>
        <v>1119.9474</v>
      </c>
      <c r="J256">
        <v>14.51</v>
      </c>
      <c r="K256" s="2">
        <f t="shared" si="35"/>
        <v>863.92539999999997</v>
      </c>
      <c r="L256">
        <v>6.74</v>
      </c>
      <c r="M256" s="2">
        <f t="shared" si="36"/>
        <v>401.2996</v>
      </c>
      <c r="N256">
        <v>0.98</v>
      </c>
      <c r="O256" s="2">
        <f t="shared" si="37"/>
        <v>58.349200000000003</v>
      </c>
      <c r="P256">
        <v>1.49</v>
      </c>
      <c r="Q256" s="2">
        <f t="shared" si="38"/>
        <v>88.71459999999999</v>
      </c>
      <c r="R256">
        <v>0.28000000000000003</v>
      </c>
      <c r="S256" s="3">
        <f t="shared" si="39"/>
        <v>16.671200000000002</v>
      </c>
      <c r="T256" t="s">
        <v>560</v>
      </c>
      <c r="U256" s="4">
        <f t="shared" si="40"/>
        <v>5953.4045999999998</v>
      </c>
      <c r="V256" s="4">
        <f t="shared" si="41"/>
        <v>-0.59540000000015425</v>
      </c>
      <c r="W256">
        <v>5954</v>
      </c>
      <c r="X256">
        <v>2564</v>
      </c>
      <c r="Y256">
        <v>3390</v>
      </c>
      <c r="Z256">
        <v>208</v>
      </c>
      <c r="AA256">
        <v>789</v>
      </c>
      <c r="AB256">
        <v>1220</v>
      </c>
      <c r="AC256">
        <v>1258</v>
      </c>
      <c r="AD256">
        <v>998</v>
      </c>
      <c r="AE256">
        <v>786</v>
      </c>
      <c r="AF256">
        <v>439</v>
      </c>
      <c r="AG256">
        <v>216</v>
      </c>
      <c r="AH256">
        <v>40</v>
      </c>
      <c r="AI256" s="5">
        <v>43.063486731608997</v>
      </c>
      <c r="AJ256" s="5">
        <v>56.936513268391003</v>
      </c>
      <c r="AK256" s="5">
        <v>3.4934497816593901</v>
      </c>
      <c r="AL256" s="5">
        <v>13.251595566005999</v>
      </c>
      <c r="AM256" s="5">
        <v>20.490426603963702</v>
      </c>
      <c r="AN256" s="5">
        <v>21.128653006382301</v>
      </c>
      <c r="AO256" s="5">
        <v>16.761840779307999</v>
      </c>
      <c r="AP256" s="5">
        <v>13.2012092710783</v>
      </c>
      <c r="AQ256" s="5">
        <v>7.3731944910984204</v>
      </c>
      <c r="AR256" s="5">
        <v>3.6278132348001302</v>
      </c>
      <c r="AS256" s="5">
        <v>0.67181726570372902</v>
      </c>
    </row>
    <row r="257" spans="1:45" x14ac:dyDescent="0.25">
      <c r="A257" t="s">
        <v>587</v>
      </c>
      <c r="B257" t="s">
        <v>588</v>
      </c>
      <c r="C257" t="s">
        <v>207</v>
      </c>
      <c r="D257">
        <v>13.01</v>
      </c>
      <c r="E257" s="2">
        <f t="shared" si="32"/>
        <v>1634.8366000000001</v>
      </c>
      <c r="F257">
        <v>36.42</v>
      </c>
      <c r="G257" s="2">
        <f t="shared" si="33"/>
        <v>4576.5372000000007</v>
      </c>
      <c r="H257">
        <v>18.73</v>
      </c>
      <c r="I257" s="2">
        <f t="shared" si="34"/>
        <v>2353.6118000000001</v>
      </c>
      <c r="J257">
        <v>20.81</v>
      </c>
      <c r="K257" s="2">
        <f t="shared" si="35"/>
        <v>2614.9845999999998</v>
      </c>
      <c r="L257">
        <v>8.91</v>
      </c>
      <c r="M257" s="2">
        <f t="shared" si="36"/>
        <v>1119.6306</v>
      </c>
      <c r="N257">
        <v>0.66</v>
      </c>
      <c r="O257" s="2">
        <f t="shared" si="37"/>
        <v>82.935599999999994</v>
      </c>
      <c r="P257">
        <v>1.06</v>
      </c>
      <c r="Q257" s="2">
        <f t="shared" si="38"/>
        <v>133.1996</v>
      </c>
      <c r="R257">
        <v>0.39</v>
      </c>
      <c r="S257" s="3">
        <f t="shared" si="39"/>
        <v>49.007399999999997</v>
      </c>
      <c r="T257" t="s">
        <v>208</v>
      </c>
      <c r="U257" s="4">
        <f t="shared" si="40"/>
        <v>12564.743400000001</v>
      </c>
      <c r="V257" s="4">
        <f t="shared" si="41"/>
        <v>-1.256599999998798</v>
      </c>
      <c r="W257">
        <v>12566</v>
      </c>
      <c r="X257">
        <v>6349</v>
      </c>
      <c r="Y257">
        <v>6217</v>
      </c>
      <c r="Z257">
        <v>311</v>
      </c>
      <c r="AA257">
        <v>1616</v>
      </c>
      <c r="AB257">
        <v>2204</v>
      </c>
      <c r="AC257">
        <v>1981</v>
      </c>
      <c r="AD257">
        <v>2394</v>
      </c>
      <c r="AE257">
        <v>2133</v>
      </c>
      <c r="AF257">
        <v>1248</v>
      </c>
      <c r="AG257">
        <v>570</v>
      </c>
      <c r="AH257">
        <v>109</v>
      </c>
      <c r="AI257" s="5">
        <v>50.525226802482898</v>
      </c>
      <c r="AJ257" s="5">
        <v>49.474773197517102</v>
      </c>
      <c r="AK257" s="5">
        <v>2.4749323571542301</v>
      </c>
      <c r="AL257" s="5">
        <v>12.860098678975</v>
      </c>
      <c r="AM257" s="5">
        <v>17.539392010186202</v>
      </c>
      <c r="AN257" s="5">
        <v>15.7647620563425</v>
      </c>
      <c r="AO257" s="5">
        <v>19.051408562788499</v>
      </c>
      <c r="AP257" s="5">
        <v>16.974375298424299</v>
      </c>
      <c r="AQ257" s="5">
        <v>9.9315613560401097</v>
      </c>
      <c r="AR257" s="5">
        <v>4.5360496578067799</v>
      </c>
      <c r="AS257" s="5">
        <v>0.86742002228234905</v>
      </c>
    </row>
    <row r="258" spans="1:45" x14ac:dyDescent="0.25">
      <c r="A258" t="s">
        <v>589</v>
      </c>
      <c r="B258" t="s">
        <v>590</v>
      </c>
      <c r="C258" t="s">
        <v>233</v>
      </c>
      <c r="D258">
        <v>27.7</v>
      </c>
      <c r="E258" s="2">
        <f t="shared" si="32"/>
        <v>8372.601999999999</v>
      </c>
      <c r="F258">
        <v>23.16</v>
      </c>
      <c r="G258" s="2">
        <f t="shared" si="33"/>
        <v>7000.3416000000007</v>
      </c>
      <c r="H258">
        <v>18.7</v>
      </c>
      <c r="I258" s="2">
        <f t="shared" si="34"/>
        <v>5652.2619999999997</v>
      </c>
      <c r="J258">
        <v>15.38</v>
      </c>
      <c r="K258" s="2">
        <f t="shared" si="35"/>
        <v>4648.7587999999996</v>
      </c>
      <c r="L258">
        <v>12.19</v>
      </c>
      <c r="M258" s="2">
        <f t="shared" si="36"/>
        <v>3684.5493999999999</v>
      </c>
      <c r="N258">
        <v>1.19</v>
      </c>
      <c r="O258" s="2">
        <f t="shared" si="37"/>
        <v>359.68939999999998</v>
      </c>
      <c r="P258">
        <v>1.18</v>
      </c>
      <c r="Q258" s="2">
        <f t="shared" si="38"/>
        <v>356.66680000000002</v>
      </c>
      <c r="R258">
        <v>0.5</v>
      </c>
      <c r="S258" s="3">
        <f t="shared" si="39"/>
        <v>151.13</v>
      </c>
      <c r="T258" t="s">
        <v>234</v>
      </c>
      <c r="U258" s="4">
        <f t="shared" si="40"/>
        <v>30225.999999999996</v>
      </c>
      <c r="V258" s="4">
        <f t="shared" si="41"/>
        <v>0</v>
      </c>
      <c r="W258">
        <v>30226</v>
      </c>
      <c r="X258">
        <v>15327</v>
      </c>
      <c r="Y258">
        <v>14899</v>
      </c>
      <c r="Z258">
        <v>905</v>
      </c>
      <c r="AA258">
        <v>4730</v>
      </c>
      <c r="AB258">
        <v>5822</v>
      </c>
      <c r="AC258">
        <v>5192</v>
      </c>
      <c r="AD258">
        <v>4796</v>
      </c>
      <c r="AE258">
        <v>4700</v>
      </c>
      <c r="AF258">
        <v>2737</v>
      </c>
      <c r="AG258">
        <v>1140</v>
      </c>
      <c r="AH258">
        <v>204</v>
      </c>
      <c r="AI258" s="5">
        <v>50.707999735327199</v>
      </c>
      <c r="AJ258" s="5">
        <v>49.292000264672801</v>
      </c>
      <c r="AK258" s="5">
        <v>2.9941110302388698</v>
      </c>
      <c r="AL258" s="5">
        <v>15.648779196718101</v>
      </c>
      <c r="AM258" s="5">
        <v>19.261562892873702</v>
      </c>
      <c r="AN258" s="5">
        <v>17.1772646066301</v>
      </c>
      <c r="AO258" s="5">
        <v>15.8671342552769</v>
      </c>
      <c r="AP258" s="5">
        <v>15.5495268973731</v>
      </c>
      <c r="AQ258" s="5">
        <v>9.0551181102362204</v>
      </c>
      <c r="AR258" s="5">
        <v>3.77158737510752</v>
      </c>
      <c r="AS258" s="5">
        <v>0.674915635545557</v>
      </c>
    </row>
    <row r="259" spans="1:45" x14ac:dyDescent="0.25">
      <c r="A259" t="s">
        <v>591</v>
      </c>
      <c r="B259" t="s">
        <v>592</v>
      </c>
      <c r="C259" t="s">
        <v>147</v>
      </c>
      <c r="D259">
        <v>15.34</v>
      </c>
      <c r="E259" s="2">
        <f t="shared" ref="E259:E322" si="42">D259*W259/100</f>
        <v>5876.6005999999998</v>
      </c>
      <c r="F259">
        <v>38.25</v>
      </c>
      <c r="G259" s="2">
        <f t="shared" ref="G259:G322" si="43">F259*W259/100</f>
        <v>14653.192499999999</v>
      </c>
      <c r="H259">
        <v>18.66</v>
      </c>
      <c r="I259" s="2">
        <f t="shared" ref="I259:I322" si="44">H259*W259/100</f>
        <v>7148.4594000000006</v>
      </c>
      <c r="J259">
        <v>17.04</v>
      </c>
      <c r="K259" s="2">
        <f t="shared" ref="K259:K322" si="45">J259*W259/100</f>
        <v>6527.8535999999995</v>
      </c>
      <c r="L259">
        <v>8.73</v>
      </c>
      <c r="M259" s="2">
        <f t="shared" ref="M259:M322" si="46">L259*W259/100</f>
        <v>3344.3757000000001</v>
      </c>
      <c r="N259">
        <v>0.64</v>
      </c>
      <c r="O259" s="2">
        <f t="shared" ref="O259:O322" si="47">N259*W259/100</f>
        <v>245.17760000000001</v>
      </c>
      <c r="P259">
        <v>0.97</v>
      </c>
      <c r="Q259" s="2">
        <f t="shared" ref="Q259:Q322" si="48">P259*W259/100</f>
        <v>371.59729999999996</v>
      </c>
      <c r="R259">
        <v>0.36</v>
      </c>
      <c r="S259" s="3">
        <f t="shared" ref="S259:S322" si="49">R259*W259/100</f>
        <v>137.91239999999999</v>
      </c>
      <c r="T259" t="s">
        <v>148</v>
      </c>
      <c r="U259" s="4">
        <f t="shared" si="40"/>
        <v>38305.169099999999</v>
      </c>
      <c r="V259" s="4">
        <f t="shared" si="41"/>
        <v>-3.8309000000008382</v>
      </c>
      <c r="W259">
        <v>38309</v>
      </c>
      <c r="X259">
        <v>20050</v>
      </c>
      <c r="Y259">
        <v>18259</v>
      </c>
      <c r="Z259">
        <v>1153</v>
      </c>
      <c r="AA259">
        <v>5662</v>
      </c>
      <c r="AB259">
        <v>6571</v>
      </c>
      <c r="AC259">
        <v>5977</v>
      </c>
      <c r="AD259">
        <v>6468</v>
      </c>
      <c r="AE259">
        <v>6048</v>
      </c>
      <c r="AF259">
        <v>3853</v>
      </c>
      <c r="AG259">
        <v>2058</v>
      </c>
      <c r="AH259">
        <v>519</v>
      </c>
      <c r="AI259" s="5">
        <v>52.337570805815901</v>
      </c>
      <c r="AJ259" s="5">
        <v>47.662429194184099</v>
      </c>
      <c r="AK259" s="5">
        <v>3.00973661541674</v>
      </c>
      <c r="AL259" s="5">
        <v>14.7798167532434</v>
      </c>
      <c r="AM259" s="5">
        <v>17.152627319950899</v>
      </c>
      <c r="AN259" s="5">
        <v>15.6020778407163</v>
      </c>
      <c r="AO259" s="5">
        <v>16.883760996110599</v>
      </c>
      <c r="AP259" s="5">
        <v>15.78741287948</v>
      </c>
      <c r="AQ259" s="5">
        <v>10.057688793756</v>
      </c>
      <c r="AR259" s="5">
        <v>5.3721057714897302</v>
      </c>
      <c r="AS259" s="5">
        <v>1.3547730298363301</v>
      </c>
    </row>
    <row r="260" spans="1:45" x14ac:dyDescent="0.25">
      <c r="A260" t="s">
        <v>593</v>
      </c>
      <c r="B260" t="s">
        <v>594</v>
      </c>
      <c r="C260" t="s">
        <v>113</v>
      </c>
      <c r="D260">
        <v>25.3</v>
      </c>
      <c r="E260" s="2">
        <f t="shared" si="42"/>
        <v>6363.7089999999998</v>
      </c>
      <c r="F260">
        <v>25.03</v>
      </c>
      <c r="G260" s="2">
        <f t="shared" si="43"/>
        <v>6295.795900000001</v>
      </c>
      <c r="H260">
        <v>18.649999999999999</v>
      </c>
      <c r="I260" s="2">
        <f t="shared" si="44"/>
        <v>4691.0344999999998</v>
      </c>
      <c r="J260">
        <v>16.82</v>
      </c>
      <c r="K260" s="2">
        <f t="shared" si="45"/>
        <v>4230.7345999999998</v>
      </c>
      <c r="L260">
        <v>11.16</v>
      </c>
      <c r="M260" s="2">
        <f t="shared" si="46"/>
        <v>2807.0747999999999</v>
      </c>
      <c r="N260">
        <v>1.27</v>
      </c>
      <c r="O260" s="2">
        <f t="shared" si="47"/>
        <v>319.44310000000002</v>
      </c>
      <c r="P260">
        <v>1.26</v>
      </c>
      <c r="Q260" s="2">
        <f t="shared" si="48"/>
        <v>316.92779999999999</v>
      </c>
      <c r="R260">
        <v>0.51</v>
      </c>
      <c r="S260" s="3">
        <f t="shared" si="49"/>
        <v>128.28030000000001</v>
      </c>
      <c r="T260" t="s">
        <v>114</v>
      </c>
      <c r="U260" s="4">
        <f t="shared" ref="U260:U323" si="50">SUM(S260,Q260,O260,M260,K260,I260,G260,E260)</f>
        <v>25153</v>
      </c>
      <c r="V260" s="4">
        <f t="shared" ref="V260:V323" si="51">U260-W260</f>
        <v>0</v>
      </c>
      <c r="W260">
        <v>25153</v>
      </c>
      <c r="X260">
        <v>12794</v>
      </c>
      <c r="Y260">
        <v>12359</v>
      </c>
      <c r="Z260">
        <v>767</v>
      </c>
      <c r="AA260">
        <v>3901</v>
      </c>
      <c r="AB260">
        <v>4735</v>
      </c>
      <c r="AC260">
        <v>4250</v>
      </c>
      <c r="AD260">
        <v>4278</v>
      </c>
      <c r="AE260">
        <v>3818</v>
      </c>
      <c r="AF260">
        <v>2203</v>
      </c>
      <c r="AG260">
        <v>981</v>
      </c>
      <c r="AH260">
        <v>220</v>
      </c>
      <c r="AI260" s="5">
        <v>50.864707987118798</v>
      </c>
      <c r="AJ260" s="5">
        <v>49.135292012881202</v>
      </c>
      <c r="AK260" s="5">
        <v>3.0493380511271</v>
      </c>
      <c r="AL260" s="5">
        <v>15.509084403450901</v>
      </c>
      <c r="AM260" s="5">
        <v>18.8247922712996</v>
      </c>
      <c r="AN260" s="5">
        <v>16.8965928517473</v>
      </c>
      <c r="AO260" s="5">
        <v>17.007911581123501</v>
      </c>
      <c r="AP260" s="5">
        <v>15.1791038842285</v>
      </c>
      <c r="AQ260" s="5">
        <v>8.7583986005645507</v>
      </c>
      <c r="AR260" s="5">
        <v>3.9001311970739101</v>
      </c>
      <c r="AS260" s="5">
        <v>0.87464715938456605</v>
      </c>
    </row>
    <row r="261" spans="1:45" x14ac:dyDescent="0.25">
      <c r="A261" t="s">
        <v>595</v>
      </c>
      <c r="B261" t="s">
        <v>596</v>
      </c>
      <c r="C261" t="s">
        <v>217</v>
      </c>
      <c r="D261">
        <v>23.99</v>
      </c>
      <c r="E261" s="2">
        <f t="shared" si="42"/>
        <v>2613.9503999999997</v>
      </c>
      <c r="F261">
        <v>30.42</v>
      </c>
      <c r="G261" s="2">
        <f t="shared" si="43"/>
        <v>3314.5632000000001</v>
      </c>
      <c r="H261">
        <v>18.59</v>
      </c>
      <c r="I261" s="2">
        <f t="shared" si="44"/>
        <v>2025.5663999999999</v>
      </c>
      <c r="J261">
        <v>12.34</v>
      </c>
      <c r="K261" s="2">
        <f t="shared" si="45"/>
        <v>1344.5663999999999</v>
      </c>
      <c r="L261">
        <v>12.22</v>
      </c>
      <c r="M261" s="2">
        <f t="shared" si="46"/>
        <v>1331.4911999999999</v>
      </c>
      <c r="N261">
        <v>0.71</v>
      </c>
      <c r="O261" s="2">
        <f t="shared" si="47"/>
        <v>77.361599999999996</v>
      </c>
      <c r="P261">
        <v>1.26</v>
      </c>
      <c r="Q261" s="2">
        <f t="shared" si="48"/>
        <v>137.28960000000001</v>
      </c>
      <c r="R261">
        <v>0.48</v>
      </c>
      <c r="S261" s="3">
        <f t="shared" si="49"/>
        <v>52.300800000000002</v>
      </c>
      <c r="T261" t="s">
        <v>218</v>
      </c>
      <c r="U261" s="4">
        <f t="shared" si="50"/>
        <v>10897.089599999999</v>
      </c>
      <c r="V261" s="4">
        <f t="shared" si="51"/>
        <v>1.0895999999993364</v>
      </c>
      <c r="W261">
        <v>10896</v>
      </c>
      <c r="X261">
        <v>5423</v>
      </c>
      <c r="Y261">
        <v>5473</v>
      </c>
      <c r="Z261">
        <v>332</v>
      </c>
      <c r="AA261">
        <v>1587</v>
      </c>
      <c r="AB261">
        <v>1871</v>
      </c>
      <c r="AC261">
        <v>1774</v>
      </c>
      <c r="AD261">
        <v>1993</v>
      </c>
      <c r="AE261">
        <v>1717</v>
      </c>
      <c r="AF261">
        <v>1082</v>
      </c>
      <c r="AG261">
        <v>452</v>
      </c>
      <c r="AH261">
        <v>88</v>
      </c>
      <c r="AI261" s="5">
        <v>49.770558002936902</v>
      </c>
      <c r="AJ261" s="5">
        <v>50.229441997063098</v>
      </c>
      <c r="AK261" s="5">
        <v>3.0469897209985302</v>
      </c>
      <c r="AL261" s="5">
        <v>14.5649779735683</v>
      </c>
      <c r="AM261" s="5">
        <v>17.1714390602056</v>
      </c>
      <c r="AN261" s="5">
        <v>16.281204111600601</v>
      </c>
      <c r="AO261" s="5">
        <v>18.2911160058737</v>
      </c>
      <c r="AP261" s="5">
        <v>15.7580763582966</v>
      </c>
      <c r="AQ261" s="5">
        <v>9.9302496328927994</v>
      </c>
      <c r="AR261" s="5">
        <v>4.1483113069016202</v>
      </c>
      <c r="AS261" s="5">
        <v>0.807635829662261</v>
      </c>
    </row>
    <row r="262" spans="1:45" x14ac:dyDescent="0.25">
      <c r="A262" t="s">
        <v>597</v>
      </c>
      <c r="B262" t="s">
        <v>598</v>
      </c>
      <c r="C262" t="s">
        <v>233</v>
      </c>
      <c r="D262">
        <v>20.28</v>
      </c>
      <c r="E262" s="2">
        <f t="shared" si="42"/>
        <v>1913.8236000000002</v>
      </c>
      <c r="F262">
        <v>33.950000000000003</v>
      </c>
      <c r="G262" s="2">
        <f t="shared" si="43"/>
        <v>3203.8615000000004</v>
      </c>
      <c r="H262">
        <v>18.440000000000001</v>
      </c>
      <c r="I262" s="2">
        <f t="shared" si="44"/>
        <v>1740.1828</v>
      </c>
      <c r="J262">
        <v>15.43</v>
      </c>
      <c r="K262" s="2">
        <f t="shared" si="45"/>
        <v>1456.1291000000001</v>
      </c>
      <c r="L262">
        <v>9.73</v>
      </c>
      <c r="M262" s="2">
        <f t="shared" si="46"/>
        <v>918.22010000000012</v>
      </c>
      <c r="N262">
        <v>0.82</v>
      </c>
      <c r="O262" s="2">
        <f t="shared" si="47"/>
        <v>77.383399999999995</v>
      </c>
      <c r="P262">
        <v>0.85</v>
      </c>
      <c r="Q262" s="2">
        <f t="shared" si="48"/>
        <v>80.214500000000001</v>
      </c>
      <c r="R262">
        <v>0.51</v>
      </c>
      <c r="S262" s="3">
        <f t="shared" si="49"/>
        <v>48.128700000000002</v>
      </c>
      <c r="T262" t="s">
        <v>234</v>
      </c>
      <c r="U262" s="4">
        <f t="shared" si="50"/>
        <v>9437.9437000000016</v>
      </c>
      <c r="V262" s="4">
        <f t="shared" si="51"/>
        <v>0.9437000000016269</v>
      </c>
      <c r="W262">
        <v>9437</v>
      </c>
      <c r="X262">
        <v>4583</v>
      </c>
      <c r="Y262">
        <v>4854</v>
      </c>
      <c r="Z262">
        <v>265</v>
      </c>
      <c r="AA262">
        <v>1392</v>
      </c>
      <c r="AB262">
        <v>1703</v>
      </c>
      <c r="AC262">
        <v>1520</v>
      </c>
      <c r="AD262">
        <v>1554</v>
      </c>
      <c r="AE262">
        <v>1473</v>
      </c>
      <c r="AF262">
        <v>967</v>
      </c>
      <c r="AG262">
        <v>472</v>
      </c>
      <c r="AH262">
        <v>91</v>
      </c>
      <c r="AI262" s="5">
        <v>48.5641623397266</v>
      </c>
      <c r="AJ262" s="5">
        <v>51.4358376602734</v>
      </c>
      <c r="AK262" s="5">
        <v>2.8080957931546</v>
      </c>
      <c r="AL262" s="5">
        <v>14.7504503549857</v>
      </c>
      <c r="AM262" s="5">
        <v>18.045989191480299</v>
      </c>
      <c r="AN262" s="5">
        <v>16.1068136060189</v>
      </c>
      <c r="AO262" s="5">
        <v>16.467097594574501</v>
      </c>
      <c r="AP262" s="5">
        <v>15.6087739747801</v>
      </c>
      <c r="AQ262" s="5">
        <v>10.246900498039601</v>
      </c>
      <c r="AR262" s="5">
        <v>5.0015894881848002</v>
      </c>
      <c r="AS262" s="5">
        <v>0.96428949878139203</v>
      </c>
    </row>
    <row r="263" spans="1:45" x14ac:dyDescent="0.25">
      <c r="A263" t="s">
        <v>599</v>
      </c>
      <c r="B263" t="s">
        <v>600</v>
      </c>
      <c r="C263" t="s">
        <v>113</v>
      </c>
      <c r="D263">
        <v>27.32</v>
      </c>
      <c r="E263" s="2">
        <f t="shared" si="42"/>
        <v>2023.5924</v>
      </c>
      <c r="F263">
        <v>21.41</v>
      </c>
      <c r="G263" s="2">
        <f t="shared" si="43"/>
        <v>1585.8387</v>
      </c>
      <c r="H263">
        <v>18.309999999999999</v>
      </c>
      <c r="I263" s="2">
        <f t="shared" si="44"/>
        <v>1356.2216999999998</v>
      </c>
      <c r="J263">
        <v>14.25</v>
      </c>
      <c r="K263" s="2">
        <f t="shared" si="45"/>
        <v>1055.4974999999999</v>
      </c>
      <c r="L263">
        <v>16.23</v>
      </c>
      <c r="M263" s="2">
        <f t="shared" si="46"/>
        <v>1202.1560999999999</v>
      </c>
      <c r="N263">
        <v>1.1100000000000001</v>
      </c>
      <c r="O263" s="2">
        <f t="shared" si="47"/>
        <v>82.217700000000008</v>
      </c>
      <c r="P263">
        <v>0.98</v>
      </c>
      <c r="Q263" s="2">
        <f t="shared" si="48"/>
        <v>72.5886</v>
      </c>
      <c r="R263">
        <v>0.39</v>
      </c>
      <c r="S263" s="3">
        <f t="shared" si="49"/>
        <v>28.8873</v>
      </c>
      <c r="T263" t="s">
        <v>114</v>
      </c>
      <c r="U263" s="4">
        <f t="shared" si="50"/>
        <v>7407</v>
      </c>
      <c r="V263" s="4">
        <f t="shared" si="51"/>
        <v>0</v>
      </c>
      <c r="W263">
        <v>7407</v>
      </c>
      <c r="X263">
        <v>3711</v>
      </c>
      <c r="Y263">
        <v>3696</v>
      </c>
      <c r="Z263">
        <v>186</v>
      </c>
      <c r="AA263">
        <v>1002</v>
      </c>
      <c r="AB263">
        <v>1357</v>
      </c>
      <c r="AC263">
        <v>1203</v>
      </c>
      <c r="AD263">
        <v>1229</v>
      </c>
      <c r="AE263">
        <v>1298</v>
      </c>
      <c r="AF263">
        <v>789</v>
      </c>
      <c r="AG263">
        <v>291</v>
      </c>
      <c r="AH263">
        <v>52</v>
      </c>
      <c r="AI263" s="5">
        <v>50.101255569056299</v>
      </c>
      <c r="AJ263" s="5">
        <v>49.898744430943701</v>
      </c>
      <c r="AK263" s="5">
        <v>2.51113811259619</v>
      </c>
      <c r="AL263" s="5">
        <v>13.5277440259214</v>
      </c>
      <c r="AM263" s="5">
        <v>18.3205076279195</v>
      </c>
      <c r="AN263" s="5">
        <v>16.241393276630198</v>
      </c>
      <c r="AO263" s="5">
        <v>16.592412582691999</v>
      </c>
      <c r="AP263" s="5">
        <v>17.523963818009999</v>
      </c>
      <c r="AQ263" s="5">
        <v>10.652085864722601</v>
      </c>
      <c r="AR263" s="5">
        <v>3.9287160793843698</v>
      </c>
      <c r="AS263" s="5">
        <v>0.70203861212366703</v>
      </c>
    </row>
    <row r="264" spans="1:45" x14ac:dyDescent="0.25">
      <c r="A264" t="s">
        <v>601</v>
      </c>
      <c r="B264" t="s">
        <v>602</v>
      </c>
      <c r="C264" t="s">
        <v>233</v>
      </c>
      <c r="D264">
        <v>33.81</v>
      </c>
      <c r="E264" s="2">
        <f t="shared" si="42"/>
        <v>59601.6204</v>
      </c>
      <c r="F264">
        <v>20.13</v>
      </c>
      <c r="G264" s="2">
        <f t="shared" si="43"/>
        <v>35485.9692</v>
      </c>
      <c r="H264">
        <v>18.25</v>
      </c>
      <c r="I264" s="2">
        <f t="shared" si="44"/>
        <v>32171.83</v>
      </c>
      <c r="J264">
        <v>12.45</v>
      </c>
      <c r="K264" s="2">
        <f t="shared" si="45"/>
        <v>21947.357999999997</v>
      </c>
      <c r="L264">
        <v>11.46</v>
      </c>
      <c r="M264" s="2">
        <f t="shared" si="46"/>
        <v>20202.146400000001</v>
      </c>
      <c r="N264">
        <v>1.44</v>
      </c>
      <c r="O264" s="2">
        <f t="shared" si="47"/>
        <v>2538.4895999999999</v>
      </c>
      <c r="P264">
        <v>1.57</v>
      </c>
      <c r="Q264" s="2">
        <f t="shared" si="48"/>
        <v>2767.6588000000002</v>
      </c>
      <c r="R264">
        <v>0.89</v>
      </c>
      <c r="S264" s="3">
        <f t="shared" si="49"/>
        <v>1568.9276</v>
      </c>
      <c r="T264" t="s">
        <v>234</v>
      </c>
      <c r="U264" s="4">
        <f t="shared" si="50"/>
        <v>176284</v>
      </c>
      <c r="V264" s="4">
        <f t="shared" si="51"/>
        <v>0</v>
      </c>
      <c r="W264">
        <v>176284</v>
      </c>
      <c r="X264">
        <v>91118</v>
      </c>
      <c r="Y264">
        <v>85166</v>
      </c>
      <c r="Z264">
        <v>6099</v>
      </c>
      <c r="AA264">
        <v>31850</v>
      </c>
      <c r="AB264">
        <v>36705</v>
      </c>
      <c r="AC264">
        <v>29188</v>
      </c>
      <c r="AD264">
        <v>28420</v>
      </c>
      <c r="AE264">
        <v>25818</v>
      </c>
      <c r="AF264">
        <v>12375</v>
      </c>
      <c r="AG264">
        <v>4956</v>
      </c>
      <c r="AH264">
        <v>873</v>
      </c>
      <c r="AI264" s="5">
        <v>51.688184974246099</v>
      </c>
      <c r="AJ264" s="5">
        <v>48.311815025753901</v>
      </c>
      <c r="AK264" s="5">
        <v>3.4597581175829899</v>
      </c>
      <c r="AL264" s="5">
        <v>18.067436636336801</v>
      </c>
      <c r="AM264" s="5">
        <v>20.821515282158298</v>
      </c>
      <c r="AN264" s="5">
        <v>16.557373329400299</v>
      </c>
      <c r="AO264" s="5">
        <v>16.1217126908852</v>
      </c>
      <c r="AP264" s="5">
        <v>14.645685371332601</v>
      </c>
      <c r="AQ264" s="5">
        <v>7.0199223979487604</v>
      </c>
      <c r="AR264" s="5">
        <v>2.8113725579179101</v>
      </c>
      <c r="AS264" s="5">
        <v>0.49522361643711299</v>
      </c>
    </row>
    <row r="265" spans="1:45" x14ac:dyDescent="0.25">
      <c r="A265" t="s">
        <v>603</v>
      </c>
      <c r="B265" t="s">
        <v>604</v>
      </c>
      <c r="C265" t="s">
        <v>207</v>
      </c>
      <c r="D265">
        <v>18.760000000000002</v>
      </c>
      <c r="E265" s="2">
        <f t="shared" si="42"/>
        <v>1083.5776000000001</v>
      </c>
      <c r="F265">
        <v>37.78</v>
      </c>
      <c r="G265" s="2">
        <f t="shared" si="43"/>
        <v>2182.1727999999998</v>
      </c>
      <c r="H265">
        <v>18.190000000000001</v>
      </c>
      <c r="I265" s="2">
        <f t="shared" si="44"/>
        <v>1050.6544000000001</v>
      </c>
      <c r="J265">
        <v>13.65</v>
      </c>
      <c r="K265" s="2">
        <f t="shared" si="45"/>
        <v>788.42400000000009</v>
      </c>
      <c r="L265">
        <v>9.73</v>
      </c>
      <c r="M265" s="2">
        <f t="shared" si="46"/>
        <v>562.00480000000005</v>
      </c>
      <c r="N265">
        <v>0.56999999999999995</v>
      </c>
      <c r="O265" s="2">
        <f t="shared" si="47"/>
        <v>32.923199999999994</v>
      </c>
      <c r="P265">
        <v>0.87</v>
      </c>
      <c r="Q265" s="2">
        <f t="shared" si="48"/>
        <v>50.251199999999997</v>
      </c>
      <c r="R265">
        <v>0.45</v>
      </c>
      <c r="S265" s="3">
        <f t="shared" si="49"/>
        <v>25.992000000000004</v>
      </c>
      <c r="T265" t="s">
        <v>208</v>
      </c>
      <c r="U265" s="4">
        <f t="shared" si="50"/>
        <v>5776</v>
      </c>
      <c r="V265" s="4">
        <f t="shared" si="51"/>
        <v>0</v>
      </c>
      <c r="W265">
        <v>5776</v>
      </c>
      <c r="X265">
        <v>2866</v>
      </c>
      <c r="Y265">
        <v>2910</v>
      </c>
      <c r="Z265">
        <v>132</v>
      </c>
      <c r="AA265">
        <v>717</v>
      </c>
      <c r="AB265">
        <v>886</v>
      </c>
      <c r="AC265">
        <v>854</v>
      </c>
      <c r="AD265">
        <v>1151</v>
      </c>
      <c r="AE265">
        <v>1057</v>
      </c>
      <c r="AF265">
        <v>586</v>
      </c>
      <c r="AG265">
        <v>324</v>
      </c>
      <c r="AH265">
        <v>69</v>
      </c>
      <c r="AI265" s="5">
        <v>49.619113573407198</v>
      </c>
      <c r="AJ265" s="5">
        <v>50.380886426592802</v>
      </c>
      <c r="AK265" s="5">
        <v>2.28531855955679</v>
      </c>
      <c r="AL265" s="5">
        <v>12.413434903047101</v>
      </c>
      <c r="AM265" s="5">
        <v>15.3393351800554</v>
      </c>
      <c r="AN265" s="5">
        <v>14.785318559556799</v>
      </c>
      <c r="AO265" s="5">
        <v>19.927285318559601</v>
      </c>
      <c r="AP265" s="5">
        <v>18.299861495844901</v>
      </c>
      <c r="AQ265" s="5">
        <v>10.1454293628809</v>
      </c>
      <c r="AR265" s="5">
        <v>5.6094182825484804</v>
      </c>
      <c r="AS265" s="5">
        <v>1.1945983379501399</v>
      </c>
    </row>
    <row r="266" spans="1:45" x14ac:dyDescent="0.25">
      <c r="A266" t="s">
        <v>605</v>
      </c>
      <c r="B266" t="s">
        <v>606</v>
      </c>
      <c r="C266" t="s">
        <v>141</v>
      </c>
      <c r="D266">
        <v>19.190000000000001</v>
      </c>
      <c r="E266" s="2">
        <f t="shared" si="42"/>
        <v>4757.9686000000002</v>
      </c>
      <c r="F266">
        <v>32.19</v>
      </c>
      <c r="G266" s="2">
        <f t="shared" si="43"/>
        <v>7981.1885999999995</v>
      </c>
      <c r="H266">
        <v>18.16</v>
      </c>
      <c r="I266" s="2">
        <f t="shared" si="44"/>
        <v>4502.5904</v>
      </c>
      <c r="J266">
        <v>17.989999999999998</v>
      </c>
      <c r="K266" s="2">
        <f t="shared" si="45"/>
        <v>4460.440599999999</v>
      </c>
      <c r="L266">
        <v>9.9700000000000006</v>
      </c>
      <c r="M266" s="2">
        <f t="shared" si="46"/>
        <v>2471.9618</v>
      </c>
      <c r="N266">
        <v>0.79</v>
      </c>
      <c r="O266" s="2">
        <f t="shared" si="47"/>
        <v>195.87260000000003</v>
      </c>
      <c r="P266">
        <v>1.1299999999999999</v>
      </c>
      <c r="Q266" s="2">
        <f t="shared" si="48"/>
        <v>280.17219999999998</v>
      </c>
      <c r="R266">
        <v>0.56999999999999995</v>
      </c>
      <c r="S266" s="3">
        <f t="shared" si="49"/>
        <v>141.32579999999999</v>
      </c>
      <c r="T266" t="s">
        <v>142</v>
      </c>
      <c r="U266" s="4">
        <f t="shared" si="50"/>
        <v>24791.520599999996</v>
      </c>
      <c r="V266" s="4">
        <f t="shared" si="51"/>
        <v>-2.4794000000038068</v>
      </c>
      <c r="W266">
        <v>24794</v>
      </c>
      <c r="X266">
        <v>12867</v>
      </c>
      <c r="Y266">
        <v>11927</v>
      </c>
      <c r="Z266">
        <v>732</v>
      </c>
      <c r="AA266">
        <v>3735</v>
      </c>
      <c r="AB266">
        <v>4075</v>
      </c>
      <c r="AC266">
        <v>3783</v>
      </c>
      <c r="AD266">
        <v>4474</v>
      </c>
      <c r="AE266">
        <v>3794</v>
      </c>
      <c r="AF266">
        <v>2542</v>
      </c>
      <c r="AG266">
        <v>1390</v>
      </c>
      <c r="AH266">
        <v>269</v>
      </c>
      <c r="AI266" s="5">
        <v>51.895619908042299</v>
      </c>
      <c r="AJ266" s="5">
        <v>48.104380091957701</v>
      </c>
      <c r="AK266" s="5">
        <v>2.9523271759296601</v>
      </c>
      <c r="AL266" s="5">
        <v>15.0641284181657</v>
      </c>
      <c r="AM266" s="5">
        <v>16.435427926111199</v>
      </c>
      <c r="AN266" s="5">
        <v>15.257723642816799</v>
      </c>
      <c r="AO266" s="5">
        <v>18.044688231023599</v>
      </c>
      <c r="AP266" s="5">
        <v>15.3020892151327</v>
      </c>
      <c r="AQ266" s="5">
        <v>10.2524804388158</v>
      </c>
      <c r="AR266" s="5">
        <v>5.60619504718884</v>
      </c>
      <c r="AS266" s="5">
        <v>1.08493990481568</v>
      </c>
    </row>
    <row r="267" spans="1:45" x14ac:dyDescent="0.25">
      <c r="A267" t="s">
        <v>607</v>
      </c>
      <c r="B267" t="s">
        <v>608</v>
      </c>
      <c r="C267" t="s">
        <v>147</v>
      </c>
      <c r="D267">
        <v>16.079999999999998</v>
      </c>
      <c r="E267" s="2">
        <f t="shared" si="42"/>
        <v>1479.8424</v>
      </c>
      <c r="F267">
        <v>46.77</v>
      </c>
      <c r="G267" s="2">
        <f t="shared" si="43"/>
        <v>4304.2431000000006</v>
      </c>
      <c r="H267">
        <v>18.14</v>
      </c>
      <c r="I267" s="2">
        <f t="shared" si="44"/>
        <v>1669.4242000000002</v>
      </c>
      <c r="J267">
        <v>10.92</v>
      </c>
      <c r="K267" s="2">
        <f t="shared" si="45"/>
        <v>1004.9675999999999</v>
      </c>
      <c r="L267">
        <v>6.24</v>
      </c>
      <c r="M267" s="2">
        <f t="shared" si="46"/>
        <v>574.2672</v>
      </c>
      <c r="N267">
        <v>0.46</v>
      </c>
      <c r="O267" s="2">
        <f t="shared" si="47"/>
        <v>42.333800000000004</v>
      </c>
      <c r="P267">
        <v>0.97</v>
      </c>
      <c r="Q267" s="2">
        <f t="shared" si="48"/>
        <v>89.269099999999995</v>
      </c>
      <c r="R267">
        <v>0.42</v>
      </c>
      <c r="S267" s="3">
        <f t="shared" si="49"/>
        <v>38.6526</v>
      </c>
      <c r="T267" t="s">
        <v>148</v>
      </c>
      <c r="U267" s="4">
        <f t="shared" si="50"/>
        <v>9203</v>
      </c>
      <c r="V267" s="4">
        <f t="shared" si="51"/>
        <v>0</v>
      </c>
      <c r="W267">
        <v>9203</v>
      </c>
      <c r="X267">
        <v>4531</v>
      </c>
      <c r="Y267">
        <v>4672</v>
      </c>
      <c r="Z267">
        <v>273</v>
      </c>
      <c r="AA267">
        <v>1301</v>
      </c>
      <c r="AB267">
        <v>1519</v>
      </c>
      <c r="AC267">
        <v>1486</v>
      </c>
      <c r="AD267">
        <v>1644</v>
      </c>
      <c r="AE267">
        <v>1510</v>
      </c>
      <c r="AF267">
        <v>895</v>
      </c>
      <c r="AG267">
        <v>476</v>
      </c>
      <c r="AH267">
        <v>99</v>
      </c>
      <c r="AI267" s="5">
        <v>49.233945452569799</v>
      </c>
      <c r="AJ267" s="5">
        <v>50.766054547430201</v>
      </c>
      <c r="AK267" s="5">
        <v>2.9664239921764599</v>
      </c>
      <c r="AL267" s="5">
        <v>14.136694556123</v>
      </c>
      <c r="AM267" s="5">
        <v>16.5054873410844</v>
      </c>
      <c r="AN267" s="5">
        <v>16.1469086167554</v>
      </c>
      <c r="AO267" s="5">
        <v>17.863740084755001</v>
      </c>
      <c r="AP267" s="5">
        <v>16.4076931435402</v>
      </c>
      <c r="AQ267" s="5">
        <v>9.7250896446810806</v>
      </c>
      <c r="AR267" s="5">
        <v>5.1722264478974198</v>
      </c>
      <c r="AS267" s="5">
        <v>1.07573617298707</v>
      </c>
    </row>
    <row r="268" spans="1:45" x14ac:dyDescent="0.25">
      <c r="A268" t="s">
        <v>609</v>
      </c>
      <c r="B268" t="s">
        <v>610</v>
      </c>
      <c r="C268" t="s">
        <v>141</v>
      </c>
      <c r="D268">
        <v>22.07</v>
      </c>
      <c r="E268" s="2">
        <f t="shared" si="42"/>
        <v>55074.802199999998</v>
      </c>
      <c r="F268">
        <v>29.34</v>
      </c>
      <c r="G268" s="2">
        <f t="shared" si="43"/>
        <v>73216.796399999992</v>
      </c>
      <c r="H268">
        <v>18.010000000000002</v>
      </c>
      <c r="I268" s="2">
        <f t="shared" si="44"/>
        <v>44943.234599999996</v>
      </c>
      <c r="J268">
        <v>15.67</v>
      </c>
      <c r="K268" s="2">
        <f t="shared" si="45"/>
        <v>39103.858199999995</v>
      </c>
      <c r="L268">
        <v>11.73</v>
      </c>
      <c r="M268" s="2">
        <f t="shared" si="46"/>
        <v>29271.745800000001</v>
      </c>
      <c r="N268">
        <v>1.41</v>
      </c>
      <c r="O268" s="2">
        <f t="shared" si="47"/>
        <v>3518.5985999999998</v>
      </c>
      <c r="P268">
        <v>0.99</v>
      </c>
      <c r="Q268" s="2">
        <f t="shared" si="48"/>
        <v>2470.5054</v>
      </c>
      <c r="R268">
        <v>0.78</v>
      </c>
      <c r="S268" s="3">
        <f t="shared" si="49"/>
        <v>1946.4588000000001</v>
      </c>
      <c r="T268" t="s">
        <v>142</v>
      </c>
      <c r="U268" s="4">
        <f t="shared" si="50"/>
        <v>249546</v>
      </c>
      <c r="V268" s="4">
        <f t="shared" si="51"/>
        <v>0</v>
      </c>
      <c r="W268">
        <v>249546</v>
      </c>
      <c r="X268">
        <v>130902</v>
      </c>
      <c r="Y268">
        <v>118644</v>
      </c>
      <c r="Z268">
        <v>7547</v>
      </c>
      <c r="AA268">
        <v>42362</v>
      </c>
      <c r="AB268">
        <v>48934</v>
      </c>
      <c r="AC268">
        <v>41568</v>
      </c>
      <c r="AD268">
        <v>41314</v>
      </c>
      <c r="AE268">
        <v>33873</v>
      </c>
      <c r="AF268">
        <v>21100</v>
      </c>
      <c r="AG268">
        <v>10686</v>
      </c>
      <c r="AH268">
        <v>2162</v>
      </c>
      <c r="AI268" s="5">
        <v>52.456060205332903</v>
      </c>
      <c r="AJ268" s="5">
        <v>47.543939794667097</v>
      </c>
      <c r="AK268" s="5">
        <v>3.0242921144799002</v>
      </c>
      <c r="AL268" s="5">
        <v>16.975627739975799</v>
      </c>
      <c r="AM268" s="5">
        <v>19.609210325951899</v>
      </c>
      <c r="AN268" s="5">
        <v>16.657449929071198</v>
      </c>
      <c r="AO268" s="5">
        <v>16.555665087799401</v>
      </c>
      <c r="AP268" s="5">
        <v>13.573850111803001</v>
      </c>
      <c r="AQ268" s="5">
        <v>8.45535492454297</v>
      </c>
      <c r="AR268" s="5">
        <v>4.2821764324012399</v>
      </c>
      <c r="AS268" s="5">
        <v>0.86637333397449801</v>
      </c>
    </row>
    <row r="269" spans="1:45" x14ac:dyDescent="0.25">
      <c r="A269" t="s">
        <v>611</v>
      </c>
      <c r="B269" t="s">
        <v>612</v>
      </c>
      <c r="C269" t="s">
        <v>141</v>
      </c>
      <c r="D269">
        <v>16.23</v>
      </c>
      <c r="E269" s="2">
        <f t="shared" si="42"/>
        <v>5224.4369999999999</v>
      </c>
      <c r="F269">
        <v>39.6</v>
      </c>
      <c r="G269" s="2">
        <f t="shared" si="43"/>
        <v>12747.24</v>
      </c>
      <c r="H269">
        <v>17.96</v>
      </c>
      <c r="I269" s="2">
        <f t="shared" si="44"/>
        <v>5781.3240000000005</v>
      </c>
      <c r="J269">
        <v>16.48</v>
      </c>
      <c r="K269" s="2">
        <f t="shared" si="45"/>
        <v>5304.9120000000003</v>
      </c>
      <c r="L269">
        <v>7.43</v>
      </c>
      <c r="M269" s="2">
        <f t="shared" si="46"/>
        <v>2391.7169999999996</v>
      </c>
      <c r="N269">
        <v>0.73</v>
      </c>
      <c r="O269" s="2">
        <f t="shared" si="47"/>
        <v>234.98699999999999</v>
      </c>
      <c r="P269">
        <v>1.08</v>
      </c>
      <c r="Q269" s="2">
        <f t="shared" si="48"/>
        <v>347.65200000000004</v>
      </c>
      <c r="R269">
        <v>0.5</v>
      </c>
      <c r="S269" s="3">
        <f t="shared" si="49"/>
        <v>160.94999999999999</v>
      </c>
      <c r="T269" t="s">
        <v>142</v>
      </c>
      <c r="U269" s="4">
        <f t="shared" si="50"/>
        <v>32193.218999999997</v>
      </c>
      <c r="V269" s="4">
        <f t="shared" si="51"/>
        <v>3.2189999999973224</v>
      </c>
      <c r="W269">
        <v>32190</v>
      </c>
      <c r="X269">
        <v>16574</v>
      </c>
      <c r="Y269">
        <v>15616</v>
      </c>
      <c r="Z269">
        <v>917</v>
      </c>
      <c r="AA269">
        <v>4832</v>
      </c>
      <c r="AB269">
        <v>5692</v>
      </c>
      <c r="AC269">
        <v>5027</v>
      </c>
      <c r="AD269">
        <v>5654</v>
      </c>
      <c r="AE269">
        <v>4999</v>
      </c>
      <c r="AF269">
        <v>3207</v>
      </c>
      <c r="AG269">
        <v>1542</v>
      </c>
      <c r="AH269">
        <v>320</v>
      </c>
      <c r="AI269" s="5">
        <v>51.488039763901803</v>
      </c>
      <c r="AJ269" s="5">
        <v>48.511960236098197</v>
      </c>
      <c r="AK269" s="5">
        <v>2.84871077974526</v>
      </c>
      <c r="AL269" s="5">
        <v>15.010872941907399</v>
      </c>
      <c r="AM269" s="5">
        <v>17.682510096303201</v>
      </c>
      <c r="AN269" s="5">
        <v>15.6166511338925</v>
      </c>
      <c r="AO269" s="5">
        <v>17.564461012736899</v>
      </c>
      <c r="AP269" s="5">
        <v>15.5296675986331</v>
      </c>
      <c r="AQ269" s="5">
        <v>9.9627213420316902</v>
      </c>
      <c r="AR269" s="5">
        <v>4.7903075489282401</v>
      </c>
      <c r="AS269" s="5">
        <v>0.99409754582168397</v>
      </c>
    </row>
    <row r="270" spans="1:45" x14ac:dyDescent="0.25">
      <c r="A270" t="s">
        <v>613</v>
      </c>
      <c r="B270" t="s">
        <v>614</v>
      </c>
      <c r="C270" t="s">
        <v>233</v>
      </c>
      <c r="D270">
        <v>24.62</v>
      </c>
      <c r="E270" s="2">
        <f t="shared" si="42"/>
        <v>15356.478800000001</v>
      </c>
      <c r="F270">
        <v>34.44</v>
      </c>
      <c r="G270" s="2">
        <f t="shared" si="43"/>
        <v>21481.605599999999</v>
      </c>
      <c r="H270">
        <v>17.78</v>
      </c>
      <c r="I270" s="2">
        <f t="shared" si="44"/>
        <v>11090.0972</v>
      </c>
      <c r="J270">
        <v>11.82</v>
      </c>
      <c r="K270" s="2">
        <f t="shared" si="45"/>
        <v>7372.6068000000005</v>
      </c>
      <c r="L270">
        <v>8.64</v>
      </c>
      <c r="M270" s="2">
        <f t="shared" si="46"/>
        <v>5389.1135999999997</v>
      </c>
      <c r="N270">
        <v>1.1100000000000001</v>
      </c>
      <c r="O270" s="2">
        <f t="shared" si="47"/>
        <v>692.35140000000001</v>
      </c>
      <c r="P270">
        <v>1.07</v>
      </c>
      <c r="Q270" s="2">
        <f t="shared" si="48"/>
        <v>667.40180000000009</v>
      </c>
      <c r="R270">
        <v>0.51</v>
      </c>
      <c r="S270" s="3">
        <f t="shared" si="49"/>
        <v>318.10740000000004</v>
      </c>
      <c r="T270" t="s">
        <v>234</v>
      </c>
      <c r="U270" s="4">
        <f t="shared" si="50"/>
        <v>62367.762600000002</v>
      </c>
      <c r="V270" s="4">
        <f t="shared" si="51"/>
        <v>-6.2373999999981606</v>
      </c>
      <c r="W270">
        <v>62374</v>
      </c>
      <c r="X270">
        <v>31545</v>
      </c>
      <c r="Y270">
        <v>30829</v>
      </c>
      <c r="Z270">
        <v>2155</v>
      </c>
      <c r="AA270">
        <v>10699</v>
      </c>
      <c r="AB270">
        <v>12271</v>
      </c>
      <c r="AC270">
        <v>10879</v>
      </c>
      <c r="AD270">
        <v>10198</v>
      </c>
      <c r="AE270">
        <v>8832</v>
      </c>
      <c r="AF270">
        <v>5022</v>
      </c>
      <c r="AG270">
        <v>1974</v>
      </c>
      <c r="AH270">
        <v>344</v>
      </c>
      <c r="AI270" s="5">
        <v>50.573957097508597</v>
      </c>
      <c r="AJ270" s="5">
        <v>49.426042902491403</v>
      </c>
      <c r="AK270" s="5">
        <v>3.4549652098630799</v>
      </c>
      <c r="AL270" s="5">
        <v>17.152980408503499</v>
      </c>
      <c r="AM270" s="5">
        <v>19.673261294770299</v>
      </c>
      <c r="AN270" s="5">
        <v>17.441562189373801</v>
      </c>
      <c r="AO270" s="5">
        <v>16.349761118414701</v>
      </c>
      <c r="AP270" s="5">
        <v>14.159746048032799</v>
      </c>
      <c r="AQ270" s="5">
        <v>8.0514316862795408</v>
      </c>
      <c r="AR270" s="5">
        <v>3.1647801968769</v>
      </c>
      <c r="AS270" s="5">
        <v>0.55151184788533703</v>
      </c>
    </row>
    <row r="271" spans="1:45" x14ac:dyDescent="0.25">
      <c r="A271" t="s">
        <v>615</v>
      </c>
      <c r="B271" t="s">
        <v>616</v>
      </c>
      <c r="C271" t="s">
        <v>147</v>
      </c>
      <c r="D271">
        <v>27.08</v>
      </c>
      <c r="E271" s="2">
        <f t="shared" si="42"/>
        <v>2739.9544000000001</v>
      </c>
      <c r="F271">
        <v>30.29</v>
      </c>
      <c r="G271" s="2">
        <f t="shared" si="43"/>
        <v>3064.7421999999997</v>
      </c>
      <c r="H271">
        <v>17.63</v>
      </c>
      <c r="I271" s="2">
        <f t="shared" si="44"/>
        <v>1783.8034</v>
      </c>
      <c r="J271">
        <v>12.55</v>
      </c>
      <c r="K271" s="2">
        <f t="shared" si="45"/>
        <v>1269.8090000000002</v>
      </c>
      <c r="L271">
        <v>10.02</v>
      </c>
      <c r="M271" s="2">
        <f t="shared" si="46"/>
        <v>1013.8236000000001</v>
      </c>
      <c r="N271">
        <v>0.94</v>
      </c>
      <c r="O271" s="2">
        <f t="shared" si="47"/>
        <v>95.109200000000001</v>
      </c>
      <c r="P271">
        <v>1.1299999999999999</v>
      </c>
      <c r="Q271" s="2">
        <f t="shared" si="48"/>
        <v>114.33339999999998</v>
      </c>
      <c r="R271">
        <v>0.35</v>
      </c>
      <c r="S271" s="3">
        <f t="shared" si="49"/>
        <v>35.412999999999997</v>
      </c>
      <c r="T271" t="s">
        <v>148</v>
      </c>
      <c r="U271" s="4">
        <f t="shared" si="50"/>
        <v>10116.9882</v>
      </c>
      <c r="V271" s="4">
        <f t="shared" si="51"/>
        <v>-1.0118000000002212</v>
      </c>
      <c r="W271">
        <v>10118</v>
      </c>
      <c r="X271">
        <v>4987</v>
      </c>
      <c r="Y271">
        <v>5131</v>
      </c>
      <c r="Z271">
        <v>288</v>
      </c>
      <c r="AA271">
        <v>1354</v>
      </c>
      <c r="AB271">
        <v>1682</v>
      </c>
      <c r="AC271">
        <v>1444</v>
      </c>
      <c r="AD271">
        <v>1920</v>
      </c>
      <c r="AE271">
        <v>1670</v>
      </c>
      <c r="AF271">
        <v>1157</v>
      </c>
      <c r="AG271">
        <v>493</v>
      </c>
      <c r="AH271">
        <v>110</v>
      </c>
      <c r="AI271" s="5">
        <v>49.288396916386603</v>
      </c>
      <c r="AJ271" s="5">
        <v>50.711603083613397</v>
      </c>
      <c r="AK271" s="5">
        <v>2.8464123344534502</v>
      </c>
      <c r="AL271" s="5">
        <v>13.3820913223957</v>
      </c>
      <c r="AM271" s="5">
        <v>16.623838703301001</v>
      </c>
      <c r="AN271" s="5">
        <v>14.271595176912401</v>
      </c>
      <c r="AO271" s="5">
        <v>18.976082229689698</v>
      </c>
      <c r="AP271" s="5">
        <v>16.5052381893655</v>
      </c>
      <c r="AQ271" s="5">
        <v>11.4350662186203</v>
      </c>
      <c r="AR271" s="5">
        <v>4.8725044475192698</v>
      </c>
      <c r="AS271" s="5">
        <v>1.0871713777426399</v>
      </c>
    </row>
    <row r="272" spans="1:45" x14ac:dyDescent="0.25">
      <c r="A272" t="s">
        <v>617</v>
      </c>
      <c r="B272" t="s">
        <v>618</v>
      </c>
      <c r="C272" t="s">
        <v>233</v>
      </c>
      <c r="D272">
        <v>35.57</v>
      </c>
      <c r="E272" s="2">
        <f t="shared" si="42"/>
        <v>150982.91190000001</v>
      </c>
      <c r="F272">
        <v>18.87</v>
      </c>
      <c r="G272" s="2">
        <f t="shared" si="43"/>
        <v>80096.922900000005</v>
      </c>
      <c r="H272">
        <v>17.559999999999999</v>
      </c>
      <c r="I272" s="2">
        <f t="shared" si="44"/>
        <v>74536.405199999994</v>
      </c>
      <c r="J272">
        <v>12.38</v>
      </c>
      <c r="K272" s="2">
        <f t="shared" si="45"/>
        <v>52549.014600000002</v>
      </c>
      <c r="L272">
        <v>11.71</v>
      </c>
      <c r="M272" s="2">
        <f t="shared" si="46"/>
        <v>49705.085700000003</v>
      </c>
      <c r="N272">
        <v>1.6</v>
      </c>
      <c r="O272" s="2">
        <f t="shared" si="47"/>
        <v>6791.4720000000007</v>
      </c>
      <c r="P272">
        <v>1.45</v>
      </c>
      <c r="Q272" s="2">
        <f t="shared" si="48"/>
        <v>6154.7714999999998</v>
      </c>
      <c r="R272">
        <v>0.86</v>
      </c>
      <c r="S272" s="3">
        <f t="shared" si="49"/>
        <v>3650.4162000000001</v>
      </c>
      <c r="T272" t="s">
        <v>234</v>
      </c>
      <c r="U272" s="4">
        <f t="shared" si="50"/>
        <v>424467</v>
      </c>
      <c r="V272" s="4">
        <f t="shared" si="51"/>
        <v>0</v>
      </c>
      <c r="W272">
        <v>424467</v>
      </c>
      <c r="X272">
        <v>221976</v>
      </c>
      <c r="Y272">
        <v>202491</v>
      </c>
      <c r="Z272">
        <v>15604</v>
      </c>
      <c r="AA272">
        <v>81871</v>
      </c>
      <c r="AB272">
        <v>88902</v>
      </c>
      <c r="AC272">
        <v>68986</v>
      </c>
      <c r="AD272">
        <v>65949</v>
      </c>
      <c r="AE272">
        <v>61660</v>
      </c>
      <c r="AF272">
        <v>29579</v>
      </c>
      <c r="AG272">
        <v>10118</v>
      </c>
      <c r="AH272">
        <v>1798</v>
      </c>
      <c r="AI272" s="5">
        <v>52.295231431418699</v>
      </c>
      <c r="AJ272" s="5">
        <v>47.704768568581301</v>
      </c>
      <c r="AK272" s="5">
        <v>3.67613972346496</v>
      </c>
      <c r="AL272" s="5">
        <v>19.2879540694565</v>
      </c>
      <c r="AM272" s="5">
        <v>20.944384369102899</v>
      </c>
      <c r="AN272" s="5">
        <v>16.252382399574099</v>
      </c>
      <c r="AO272" s="5">
        <v>15.5368968612401</v>
      </c>
      <c r="AP272" s="5">
        <v>14.526453175394099</v>
      </c>
      <c r="AQ272" s="5">
        <v>6.9685040297596803</v>
      </c>
      <c r="AR272" s="5">
        <v>2.38369531671484</v>
      </c>
      <c r="AS272" s="5">
        <v>0.42359005529287302</v>
      </c>
    </row>
    <row r="273" spans="1:45" x14ac:dyDescent="0.25">
      <c r="A273" t="s">
        <v>619</v>
      </c>
      <c r="B273" t="s">
        <v>620</v>
      </c>
      <c r="C273" t="s">
        <v>113</v>
      </c>
      <c r="D273">
        <v>29.3</v>
      </c>
      <c r="E273" s="2">
        <f t="shared" si="42"/>
        <v>32594.492000000002</v>
      </c>
      <c r="F273">
        <v>19.559999999999999</v>
      </c>
      <c r="G273" s="2">
        <f t="shared" si="43"/>
        <v>21759.326399999998</v>
      </c>
      <c r="H273">
        <v>17.510000000000002</v>
      </c>
      <c r="I273" s="2">
        <f t="shared" si="44"/>
        <v>19478.824400000001</v>
      </c>
      <c r="J273">
        <v>17.77</v>
      </c>
      <c r="K273" s="2">
        <f t="shared" si="45"/>
        <v>19768.058799999999</v>
      </c>
      <c r="L273">
        <v>12.12</v>
      </c>
      <c r="M273" s="2">
        <f t="shared" si="46"/>
        <v>13482.772800000001</v>
      </c>
      <c r="N273">
        <v>1.68</v>
      </c>
      <c r="O273" s="2">
        <f t="shared" si="47"/>
        <v>1868.8991999999998</v>
      </c>
      <c r="P273">
        <v>1.22</v>
      </c>
      <c r="Q273" s="2">
        <f t="shared" si="48"/>
        <v>1357.1768</v>
      </c>
      <c r="R273">
        <v>0.84</v>
      </c>
      <c r="S273" s="3">
        <f t="shared" si="49"/>
        <v>934.44959999999992</v>
      </c>
      <c r="T273" t="s">
        <v>114</v>
      </c>
      <c r="U273" s="4">
        <f t="shared" si="50"/>
        <v>111244</v>
      </c>
      <c r="V273" s="4">
        <f t="shared" si="51"/>
        <v>0</v>
      </c>
      <c r="W273">
        <v>111244</v>
      </c>
      <c r="X273">
        <v>59196</v>
      </c>
      <c r="Y273">
        <v>52048</v>
      </c>
      <c r="Z273">
        <v>3423</v>
      </c>
      <c r="AA273">
        <v>18373</v>
      </c>
      <c r="AB273">
        <v>21259</v>
      </c>
      <c r="AC273">
        <v>18663</v>
      </c>
      <c r="AD273">
        <v>17004</v>
      </c>
      <c r="AE273">
        <v>16484</v>
      </c>
      <c r="AF273">
        <v>10257</v>
      </c>
      <c r="AG273">
        <v>4749</v>
      </c>
      <c r="AH273">
        <v>1032</v>
      </c>
      <c r="AI273" s="5">
        <v>53.212757541979798</v>
      </c>
      <c r="AJ273" s="5">
        <v>46.787242458020202</v>
      </c>
      <c r="AK273" s="5">
        <v>3.0770198842184699</v>
      </c>
      <c r="AL273" s="5">
        <v>16.515946927474701</v>
      </c>
      <c r="AM273" s="5">
        <v>19.110244147999001</v>
      </c>
      <c r="AN273" s="5">
        <v>16.776635144367301</v>
      </c>
      <c r="AO273" s="5">
        <v>15.2853187587645</v>
      </c>
      <c r="AP273" s="5">
        <v>14.817877818129499</v>
      </c>
      <c r="AQ273" s="5">
        <v>9.2202725540253905</v>
      </c>
      <c r="AR273" s="5">
        <v>4.2689942828377303</v>
      </c>
      <c r="AS273" s="5">
        <v>0.92769048218330896</v>
      </c>
    </row>
    <row r="274" spans="1:45" x14ac:dyDescent="0.25">
      <c r="A274" t="s">
        <v>621</v>
      </c>
      <c r="B274" t="s">
        <v>622</v>
      </c>
      <c r="C274" t="s">
        <v>141</v>
      </c>
      <c r="D274">
        <v>21.53</v>
      </c>
      <c r="E274" s="2">
        <f t="shared" si="42"/>
        <v>13793.194500000001</v>
      </c>
      <c r="F274">
        <v>27.46</v>
      </c>
      <c r="G274" s="2">
        <f t="shared" si="43"/>
        <v>17592.249</v>
      </c>
      <c r="H274">
        <v>17.45</v>
      </c>
      <c r="I274" s="2">
        <f t="shared" si="44"/>
        <v>11179.342500000001</v>
      </c>
      <c r="J274">
        <v>20.99</v>
      </c>
      <c r="K274" s="2">
        <f t="shared" si="45"/>
        <v>13447.243499999999</v>
      </c>
      <c r="L274">
        <v>9.85</v>
      </c>
      <c r="M274" s="2">
        <f t="shared" si="46"/>
        <v>6310.4025000000001</v>
      </c>
      <c r="N274">
        <v>1.17</v>
      </c>
      <c r="O274" s="2">
        <f t="shared" si="47"/>
        <v>749.56049999999993</v>
      </c>
      <c r="P274">
        <v>0.95</v>
      </c>
      <c r="Q274" s="2">
        <f t="shared" si="48"/>
        <v>608.61749999999995</v>
      </c>
      <c r="R274">
        <v>0.6</v>
      </c>
      <c r="S274" s="3">
        <f t="shared" si="49"/>
        <v>384.39</v>
      </c>
      <c r="T274" t="s">
        <v>142</v>
      </c>
      <c r="U274" s="4">
        <f t="shared" si="50"/>
        <v>64065</v>
      </c>
      <c r="V274" s="4">
        <f t="shared" si="51"/>
        <v>0</v>
      </c>
      <c r="W274">
        <v>64065</v>
      </c>
      <c r="X274">
        <v>33012</v>
      </c>
      <c r="Y274">
        <v>31053</v>
      </c>
      <c r="Z274">
        <v>1878</v>
      </c>
      <c r="AA274">
        <v>9242</v>
      </c>
      <c r="AB274">
        <v>11956</v>
      </c>
      <c r="AC274">
        <v>10655</v>
      </c>
      <c r="AD274">
        <v>10762</v>
      </c>
      <c r="AE274">
        <v>9750</v>
      </c>
      <c r="AF274">
        <v>6218</v>
      </c>
      <c r="AG274">
        <v>3081</v>
      </c>
      <c r="AH274">
        <v>523</v>
      </c>
      <c r="AI274" s="5">
        <v>51.528915944743602</v>
      </c>
      <c r="AJ274" s="5">
        <v>48.471084055256398</v>
      </c>
      <c r="AK274" s="5">
        <v>2.9313977991102802</v>
      </c>
      <c r="AL274" s="5">
        <v>14.425973620541599</v>
      </c>
      <c r="AM274" s="5">
        <v>18.6622961055178</v>
      </c>
      <c r="AN274" s="5">
        <v>16.631546086006399</v>
      </c>
      <c r="AO274" s="5">
        <v>16.798563958479701</v>
      </c>
      <c r="AP274" s="5">
        <v>15.2189182861157</v>
      </c>
      <c r="AQ274" s="5">
        <v>9.7057675798017602</v>
      </c>
      <c r="AR274" s="5">
        <v>4.8091781784125498</v>
      </c>
      <c r="AS274" s="5">
        <v>0.81635838601420396</v>
      </c>
    </row>
    <row r="275" spans="1:45" x14ac:dyDescent="0.25">
      <c r="A275" t="s">
        <v>623</v>
      </c>
      <c r="B275" t="s">
        <v>624</v>
      </c>
      <c r="C275" t="s">
        <v>217</v>
      </c>
      <c r="D275">
        <v>23.96</v>
      </c>
      <c r="E275" s="2">
        <f t="shared" si="42"/>
        <v>0</v>
      </c>
      <c r="F275">
        <v>27.62</v>
      </c>
      <c r="G275" s="2">
        <f t="shared" si="43"/>
        <v>0</v>
      </c>
      <c r="H275">
        <v>17.36</v>
      </c>
      <c r="I275" s="2">
        <f t="shared" si="44"/>
        <v>0</v>
      </c>
      <c r="J275">
        <v>14.1</v>
      </c>
      <c r="K275" s="2">
        <f t="shared" si="45"/>
        <v>0</v>
      </c>
      <c r="L275">
        <v>14.37</v>
      </c>
      <c r="M275" s="2">
        <f t="shared" si="46"/>
        <v>0</v>
      </c>
      <c r="N275">
        <v>0.97</v>
      </c>
      <c r="O275" s="2">
        <f t="shared" si="47"/>
        <v>0</v>
      </c>
      <c r="P275">
        <v>1.03</v>
      </c>
      <c r="Q275" s="2">
        <f t="shared" si="48"/>
        <v>0</v>
      </c>
      <c r="R275">
        <v>0.57999999999999996</v>
      </c>
      <c r="S275" s="3">
        <f t="shared" si="49"/>
        <v>0</v>
      </c>
      <c r="U275" s="4">
        <f t="shared" si="50"/>
        <v>0</v>
      </c>
      <c r="V275" s="4">
        <f t="shared" si="51"/>
        <v>0</v>
      </c>
      <c r="AI275" s="5" t="e">
        <v>#DIV/0!</v>
      </c>
      <c r="AJ275" s="5" t="e">
        <v>#DIV/0!</v>
      </c>
      <c r="AK275" s="5" t="e">
        <v>#DIV/0!</v>
      </c>
      <c r="AL275" s="5" t="e">
        <v>#DIV/0!</v>
      </c>
      <c r="AM275" s="5" t="e">
        <v>#DIV/0!</v>
      </c>
      <c r="AN275" s="5" t="e">
        <v>#DIV/0!</v>
      </c>
      <c r="AO275" s="5" t="e">
        <v>#DIV/0!</v>
      </c>
      <c r="AP275" s="5" t="e">
        <v>#DIV/0!</v>
      </c>
      <c r="AQ275" s="5" t="e">
        <v>#DIV/0!</v>
      </c>
      <c r="AR275" s="5" t="e">
        <v>#DIV/0!</v>
      </c>
      <c r="AS275" s="5" t="e">
        <v>#DIV/0!</v>
      </c>
    </row>
    <row r="276" spans="1:45" x14ac:dyDescent="0.25">
      <c r="A276" t="s">
        <v>625</v>
      </c>
      <c r="B276" t="s">
        <v>626</v>
      </c>
      <c r="C276" t="s">
        <v>199</v>
      </c>
      <c r="D276">
        <v>19.04</v>
      </c>
      <c r="E276" s="2">
        <f t="shared" si="42"/>
        <v>2059.1759999999999</v>
      </c>
      <c r="F276">
        <v>34.520000000000003</v>
      </c>
      <c r="G276" s="2">
        <f t="shared" si="43"/>
        <v>3733.3380000000006</v>
      </c>
      <c r="H276">
        <v>17.18</v>
      </c>
      <c r="I276" s="2">
        <f t="shared" si="44"/>
        <v>1858.0169999999998</v>
      </c>
      <c r="J276">
        <v>16.940000000000001</v>
      </c>
      <c r="K276" s="2">
        <f t="shared" si="45"/>
        <v>1832.0610000000001</v>
      </c>
      <c r="L276">
        <v>9.68</v>
      </c>
      <c r="M276" s="2">
        <f t="shared" si="46"/>
        <v>1046.8920000000001</v>
      </c>
      <c r="N276">
        <v>0.78</v>
      </c>
      <c r="O276" s="2">
        <f t="shared" si="47"/>
        <v>84.357000000000014</v>
      </c>
      <c r="P276">
        <v>1.34</v>
      </c>
      <c r="Q276" s="2">
        <f t="shared" si="48"/>
        <v>144.92099999999999</v>
      </c>
      <c r="R276">
        <v>0.52</v>
      </c>
      <c r="S276" s="3">
        <f t="shared" si="49"/>
        <v>56.238</v>
      </c>
      <c r="T276" t="s">
        <v>200</v>
      </c>
      <c r="U276" s="4">
        <f t="shared" si="50"/>
        <v>10815</v>
      </c>
      <c r="V276" s="4">
        <f t="shared" si="51"/>
        <v>0</v>
      </c>
      <c r="W276">
        <v>10815</v>
      </c>
      <c r="X276">
        <v>5363</v>
      </c>
      <c r="Y276">
        <v>5452</v>
      </c>
      <c r="Z276">
        <v>319</v>
      </c>
      <c r="AA276">
        <v>1482</v>
      </c>
      <c r="AB276">
        <v>1922</v>
      </c>
      <c r="AC276">
        <v>1695</v>
      </c>
      <c r="AD276">
        <v>1943</v>
      </c>
      <c r="AE276">
        <v>1720</v>
      </c>
      <c r="AF276">
        <v>1075</v>
      </c>
      <c r="AG276">
        <v>575</v>
      </c>
      <c r="AH276">
        <v>84</v>
      </c>
      <c r="AI276" s="5">
        <v>49.588534442903402</v>
      </c>
      <c r="AJ276" s="5">
        <v>50.411465557096598</v>
      </c>
      <c r="AK276" s="5">
        <v>2.9496070272769299</v>
      </c>
      <c r="AL276" s="5">
        <v>13.7031900138696</v>
      </c>
      <c r="AM276" s="5">
        <v>17.771613499768801</v>
      </c>
      <c r="AN276" s="5">
        <v>15.672676837725399</v>
      </c>
      <c r="AO276" s="5">
        <v>17.965788257050399</v>
      </c>
      <c r="AP276" s="5">
        <v>15.9038372630606</v>
      </c>
      <c r="AQ276" s="5">
        <v>9.9398982894128505</v>
      </c>
      <c r="AR276" s="5">
        <v>5.3166897827091999</v>
      </c>
      <c r="AS276" s="5">
        <v>0.77669902912621402</v>
      </c>
    </row>
    <row r="277" spans="1:45" x14ac:dyDescent="0.25">
      <c r="A277" t="s">
        <v>627</v>
      </c>
      <c r="B277" t="s">
        <v>628</v>
      </c>
      <c r="C277" t="s">
        <v>141</v>
      </c>
      <c r="D277">
        <v>17.75</v>
      </c>
      <c r="E277" s="2">
        <f t="shared" si="42"/>
        <v>3717.7375000000002</v>
      </c>
      <c r="F277">
        <v>37.340000000000003</v>
      </c>
      <c r="G277" s="2">
        <f t="shared" si="43"/>
        <v>7820.8630000000003</v>
      </c>
      <c r="H277">
        <v>17.12</v>
      </c>
      <c r="I277" s="2">
        <f t="shared" si="44"/>
        <v>3585.7840000000001</v>
      </c>
      <c r="J277">
        <v>18.2</v>
      </c>
      <c r="K277" s="2">
        <f t="shared" si="45"/>
        <v>3811.99</v>
      </c>
      <c r="L277">
        <v>7.37</v>
      </c>
      <c r="M277" s="2">
        <f t="shared" si="46"/>
        <v>1543.6464999999998</v>
      </c>
      <c r="N277">
        <v>0.75</v>
      </c>
      <c r="O277" s="2">
        <f t="shared" si="47"/>
        <v>157.08750000000001</v>
      </c>
      <c r="P277">
        <v>0.99</v>
      </c>
      <c r="Q277" s="2">
        <f t="shared" si="48"/>
        <v>207.35550000000001</v>
      </c>
      <c r="R277">
        <v>0.48</v>
      </c>
      <c r="S277" s="3">
        <f t="shared" si="49"/>
        <v>100.536</v>
      </c>
      <c r="T277" t="s">
        <v>142</v>
      </c>
      <c r="U277" s="4">
        <f t="shared" si="50"/>
        <v>20945</v>
      </c>
      <c r="V277" s="4">
        <f t="shared" si="51"/>
        <v>0</v>
      </c>
      <c r="W277">
        <v>20945</v>
      </c>
      <c r="X277">
        <v>10787</v>
      </c>
      <c r="Y277">
        <v>10158</v>
      </c>
      <c r="Z277">
        <v>506</v>
      </c>
      <c r="AA277">
        <v>2430</v>
      </c>
      <c r="AB277">
        <v>2957</v>
      </c>
      <c r="AC277">
        <v>3012</v>
      </c>
      <c r="AD277">
        <v>3784</v>
      </c>
      <c r="AE277">
        <v>3517</v>
      </c>
      <c r="AF277">
        <v>2836</v>
      </c>
      <c r="AG277">
        <v>1650</v>
      </c>
      <c r="AH277">
        <v>253</v>
      </c>
      <c r="AI277" s="5">
        <v>51.501551682979198</v>
      </c>
      <c r="AJ277" s="5">
        <v>48.498448317020802</v>
      </c>
      <c r="AK277" s="5">
        <v>2.4158510384339902</v>
      </c>
      <c r="AL277" s="5">
        <v>11.601814275483401</v>
      </c>
      <c r="AM277" s="5">
        <v>14.117927906421601</v>
      </c>
      <c r="AN277" s="5">
        <v>14.3805204105992</v>
      </c>
      <c r="AO277" s="5">
        <v>18.0663642874194</v>
      </c>
      <c r="AP277" s="5">
        <v>16.7915970398663</v>
      </c>
      <c r="AQ277" s="5">
        <v>13.5402243972308</v>
      </c>
      <c r="AR277" s="5">
        <v>7.87777512532824</v>
      </c>
      <c r="AS277" s="5">
        <v>1.207925519217</v>
      </c>
    </row>
    <row r="278" spans="1:45" x14ac:dyDescent="0.25">
      <c r="A278" t="s">
        <v>629</v>
      </c>
      <c r="B278" t="s">
        <v>630</v>
      </c>
      <c r="C278" t="s">
        <v>233</v>
      </c>
      <c r="D278">
        <v>35.72</v>
      </c>
      <c r="E278" s="2">
        <f t="shared" si="42"/>
        <v>29322.905200000001</v>
      </c>
      <c r="F278">
        <v>18.899999999999999</v>
      </c>
      <c r="G278" s="2">
        <f t="shared" si="43"/>
        <v>15515.198999999999</v>
      </c>
      <c r="H278">
        <v>17.03</v>
      </c>
      <c r="I278" s="2">
        <f t="shared" si="44"/>
        <v>13980.097299999999</v>
      </c>
      <c r="J278">
        <v>12.92</v>
      </c>
      <c r="K278" s="2">
        <f t="shared" si="45"/>
        <v>10606.1572</v>
      </c>
      <c r="L278">
        <v>11.74</v>
      </c>
      <c r="M278" s="2">
        <f t="shared" si="46"/>
        <v>9637.4833999999992</v>
      </c>
      <c r="N278">
        <v>1.27</v>
      </c>
      <c r="O278" s="2">
        <f t="shared" si="47"/>
        <v>1042.5557000000001</v>
      </c>
      <c r="P278">
        <v>1.6</v>
      </c>
      <c r="Q278" s="2">
        <f t="shared" si="48"/>
        <v>1313.4560000000001</v>
      </c>
      <c r="R278">
        <v>0.81</v>
      </c>
      <c r="S278" s="3">
        <f t="shared" si="49"/>
        <v>664.9371000000001</v>
      </c>
      <c r="T278" t="s">
        <v>234</v>
      </c>
      <c r="U278" s="4">
        <f t="shared" si="50"/>
        <v>82082.790899999993</v>
      </c>
      <c r="V278" s="4">
        <f t="shared" si="51"/>
        <v>-8.2091000000073109</v>
      </c>
      <c r="W278">
        <v>82091</v>
      </c>
      <c r="X278">
        <v>42041</v>
      </c>
      <c r="Y278">
        <v>40050</v>
      </c>
      <c r="Z278">
        <v>2232</v>
      </c>
      <c r="AA278">
        <v>12617</v>
      </c>
      <c r="AB278">
        <v>15313</v>
      </c>
      <c r="AC278">
        <v>12702</v>
      </c>
      <c r="AD278">
        <v>15029</v>
      </c>
      <c r="AE278">
        <v>11808</v>
      </c>
      <c r="AF278">
        <v>7270</v>
      </c>
      <c r="AG278">
        <v>4294</v>
      </c>
      <c r="AH278">
        <v>826</v>
      </c>
      <c r="AI278" s="5">
        <v>51.212678612758999</v>
      </c>
      <c r="AJ278" s="5">
        <v>48.787321387241001</v>
      </c>
      <c r="AK278" s="5">
        <v>2.7189338660754498</v>
      </c>
      <c r="AL278" s="5">
        <v>15.3695289373987</v>
      </c>
      <c r="AM278" s="5">
        <v>18.653689198572302</v>
      </c>
      <c r="AN278" s="5">
        <v>15.473072565811099</v>
      </c>
      <c r="AO278" s="5">
        <v>18.307731663641601</v>
      </c>
      <c r="AP278" s="5">
        <v>14.3840372269798</v>
      </c>
      <c r="AQ278" s="5">
        <v>8.8560256300934306</v>
      </c>
      <c r="AR278" s="5">
        <v>5.23078047532616</v>
      </c>
      <c r="AS278" s="5">
        <v>1.0062004361014001</v>
      </c>
    </row>
    <row r="279" spans="1:45" x14ac:dyDescent="0.25">
      <c r="A279" t="s">
        <v>631</v>
      </c>
      <c r="B279" t="s">
        <v>632</v>
      </c>
      <c r="C279" t="s">
        <v>199</v>
      </c>
      <c r="D279">
        <v>31.02</v>
      </c>
      <c r="E279" s="2">
        <f t="shared" si="42"/>
        <v>45763.185599999997</v>
      </c>
      <c r="F279">
        <v>22.08</v>
      </c>
      <c r="G279" s="2">
        <f t="shared" si="43"/>
        <v>32574.182399999998</v>
      </c>
      <c r="H279">
        <v>16.98</v>
      </c>
      <c r="I279" s="2">
        <f t="shared" si="44"/>
        <v>25050.254399999998</v>
      </c>
      <c r="J279">
        <v>14.47</v>
      </c>
      <c r="K279" s="2">
        <f t="shared" si="45"/>
        <v>21347.301600000003</v>
      </c>
      <c r="L279">
        <v>11.94</v>
      </c>
      <c r="M279" s="2">
        <f t="shared" si="46"/>
        <v>17614.843199999999</v>
      </c>
      <c r="N279">
        <v>1.57</v>
      </c>
      <c r="O279" s="2">
        <f t="shared" si="47"/>
        <v>2316.1896000000002</v>
      </c>
      <c r="P279">
        <v>1.07</v>
      </c>
      <c r="Q279" s="2">
        <f t="shared" si="48"/>
        <v>1578.5496000000003</v>
      </c>
      <c r="R279">
        <v>0.87</v>
      </c>
      <c r="S279" s="3">
        <f t="shared" si="49"/>
        <v>1283.4936</v>
      </c>
      <c r="T279" t="s">
        <v>200</v>
      </c>
      <c r="U279" s="4">
        <f t="shared" si="50"/>
        <v>147528</v>
      </c>
      <c r="V279" s="4">
        <f t="shared" si="51"/>
        <v>0</v>
      </c>
      <c r="W279">
        <v>147528</v>
      </c>
      <c r="X279">
        <v>77005</v>
      </c>
      <c r="Y279">
        <v>70523</v>
      </c>
      <c r="Z279">
        <v>4513</v>
      </c>
      <c r="AA279">
        <v>25235</v>
      </c>
      <c r="AB279">
        <v>28678</v>
      </c>
      <c r="AC279">
        <v>24052</v>
      </c>
      <c r="AD279">
        <v>23982</v>
      </c>
      <c r="AE279">
        <v>21216</v>
      </c>
      <c r="AF279">
        <v>12819</v>
      </c>
      <c r="AG279">
        <v>5853</v>
      </c>
      <c r="AH279">
        <v>1180</v>
      </c>
      <c r="AI279" s="5">
        <v>52.196871102434798</v>
      </c>
      <c r="AJ279" s="5">
        <v>47.803128897565202</v>
      </c>
      <c r="AK279" s="5">
        <v>3.0590803101784099</v>
      </c>
      <c r="AL279" s="5">
        <v>17.1052274822407</v>
      </c>
      <c r="AM279" s="5">
        <v>19.4390217450247</v>
      </c>
      <c r="AN279" s="5">
        <v>16.303345805542001</v>
      </c>
      <c r="AO279" s="5">
        <v>16.255897185618998</v>
      </c>
      <c r="AP279" s="5">
        <v>14.380998861233101</v>
      </c>
      <c r="AQ279" s="5">
        <v>8.6891979827558199</v>
      </c>
      <c r="AR279" s="5">
        <v>3.9673824629900798</v>
      </c>
      <c r="AS279" s="5">
        <v>0.79984816441624695</v>
      </c>
    </row>
    <row r="280" spans="1:45" x14ac:dyDescent="0.25">
      <c r="A280" t="s">
        <v>633</v>
      </c>
      <c r="B280" t="s">
        <v>634</v>
      </c>
      <c r="C280" t="s">
        <v>233</v>
      </c>
      <c r="D280">
        <v>32.53</v>
      </c>
      <c r="E280" s="2">
        <f t="shared" si="42"/>
        <v>21476.306</v>
      </c>
      <c r="F280">
        <v>20.89</v>
      </c>
      <c r="G280" s="2">
        <f t="shared" si="43"/>
        <v>13791.578000000001</v>
      </c>
      <c r="H280">
        <v>16.8</v>
      </c>
      <c r="I280" s="2">
        <f t="shared" si="44"/>
        <v>11091.36</v>
      </c>
      <c r="J280">
        <v>14.04</v>
      </c>
      <c r="K280" s="2">
        <f t="shared" si="45"/>
        <v>9269.2079999999987</v>
      </c>
      <c r="L280">
        <v>12.09</v>
      </c>
      <c r="M280" s="2">
        <f t="shared" si="46"/>
        <v>7981.8180000000002</v>
      </c>
      <c r="N280">
        <v>1.42</v>
      </c>
      <c r="O280" s="2">
        <f t="shared" si="47"/>
        <v>937.48399999999992</v>
      </c>
      <c r="P280">
        <v>1.44</v>
      </c>
      <c r="Q280" s="2">
        <f t="shared" si="48"/>
        <v>950.68799999999999</v>
      </c>
      <c r="R280">
        <v>0.8</v>
      </c>
      <c r="S280" s="3">
        <f t="shared" si="49"/>
        <v>528.16</v>
      </c>
      <c r="T280" t="s">
        <v>234</v>
      </c>
      <c r="U280" s="4">
        <f t="shared" si="50"/>
        <v>66026.601999999999</v>
      </c>
      <c r="V280" s="4">
        <f t="shared" si="51"/>
        <v>6.6019999999989523</v>
      </c>
      <c r="W280">
        <v>66020</v>
      </c>
      <c r="X280">
        <v>33462</v>
      </c>
      <c r="Y280">
        <v>32558</v>
      </c>
      <c r="Z280">
        <v>2112</v>
      </c>
      <c r="AA280">
        <v>11727</v>
      </c>
      <c r="AB280">
        <v>12768</v>
      </c>
      <c r="AC280">
        <v>10800</v>
      </c>
      <c r="AD280">
        <v>10856</v>
      </c>
      <c r="AE280">
        <v>9040</v>
      </c>
      <c r="AF280">
        <v>5309</v>
      </c>
      <c r="AG280">
        <v>2803</v>
      </c>
      <c r="AH280">
        <v>605</v>
      </c>
      <c r="AI280" s="5">
        <v>50.684641017873403</v>
      </c>
      <c r="AJ280" s="5">
        <v>49.315358982126597</v>
      </c>
      <c r="AK280" s="5">
        <v>3.1990305967888499</v>
      </c>
      <c r="AL280" s="5">
        <v>17.762799151772199</v>
      </c>
      <c r="AM280" s="5">
        <v>19.3395940624053</v>
      </c>
      <c r="AN280" s="5">
        <v>16.3586791881248</v>
      </c>
      <c r="AO280" s="5">
        <v>16.4435019691003</v>
      </c>
      <c r="AP280" s="5">
        <v>13.692820357467401</v>
      </c>
      <c r="AQ280" s="5">
        <v>8.0415025749772795</v>
      </c>
      <c r="AR280" s="5">
        <v>4.2456831263253596</v>
      </c>
      <c r="AS280" s="5">
        <v>0.916388973038473</v>
      </c>
    </row>
    <row r="281" spans="1:45" x14ac:dyDescent="0.25">
      <c r="A281" t="s">
        <v>635</v>
      </c>
      <c r="B281" t="s">
        <v>636</v>
      </c>
      <c r="C281" t="s">
        <v>141</v>
      </c>
      <c r="D281">
        <v>22.69</v>
      </c>
      <c r="E281" s="2">
        <f t="shared" si="42"/>
        <v>7750.6771000000008</v>
      </c>
      <c r="F281">
        <v>25.87</v>
      </c>
      <c r="G281" s="2">
        <f t="shared" si="43"/>
        <v>8836.9333000000006</v>
      </c>
      <c r="H281">
        <v>16.670000000000002</v>
      </c>
      <c r="I281" s="2">
        <f t="shared" si="44"/>
        <v>5694.3053</v>
      </c>
      <c r="J281">
        <v>20.51</v>
      </c>
      <c r="K281" s="2">
        <f t="shared" si="45"/>
        <v>7006.0109000000011</v>
      </c>
      <c r="L281">
        <v>11.15</v>
      </c>
      <c r="M281" s="2">
        <f t="shared" si="46"/>
        <v>3808.7285000000002</v>
      </c>
      <c r="N281">
        <v>1.34</v>
      </c>
      <c r="O281" s="2">
        <f t="shared" si="47"/>
        <v>457.73060000000004</v>
      </c>
      <c r="P281">
        <v>1.18</v>
      </c>
      <c r="Q281" s="2">
        <f t="shared" si="48"/>
        <v>403.07619999999997</v>
      </c>
      <c r="R281">
        <v>0.59</v>
      </c>
      <c r="S281" s="3">
        <f t="shared" si="49"/>
        <v>201.53809999999999</v>
      </c>
      <c r="T281" t="s">
        <v>142</v>
      </c>
      <c r="U281" s="4">
        <f t="shared" si="50"/>
        <v>34159</v>
      </c>
      <c r="V281" s="4">
        <f t="shared" si="51"/>
        <v>0</v>
      </c>
      <c r="W281">
        <v>34159</v>
      </c>
      <c r="X281">
        <v>17447</v>
      </c>
      <c r="Y281">
        <v>16712</v>
      </c>
      <c r="Z281">
        <v>955</v>
      </c>
      <c r="AA281">
        <v>4918</v>
      </c>
      <c r="AB281">
        <v>6878</v>
      </c>
      <c r="AC281">
        <v>6219</v>
      </c>
      <c r="AD281">
        <v>5482</v>
      </c>
      <c r="AE281">
        <v>4700</v>
      </c>
      <c r="AF281">
        <v>3118</v>
      </c>
      <c r="AG281">
        <v>1656</v>
      </c>
      <c r="AH281">
        <v>233</v>
      </c>
      <c r="AI281" s="5">
        <v>51.075851166603201</v>
      </c>
      <c r="AJ281" s="5">
        <v>48.924148833396799</v>
      </c>
      <c r="AK281" s="5">
        <v>2.7957492900846002</v>
      </c>
      <c r="AL281" s="5">
        <v>14.397376972393801</v>
      </c>
      <c r="AM281" s="5">
        <v>20.135249860944398</v>
      </c>
      <c r="AN281" s="5">
        <v>18.2060364764776</v>
      </c>
      <c r="AO281" s="5">
        <v>16.048479170935899</v>
      </c>
      <c r="AP281" s="5">
        <v>13.759184987850899</v>
      </c>
      <c r="AQ281" s="5">
        <v>9.1279018706636599</v>
      </c>
      <c r="AR281" s="5">
        <v>4.8479170935917297</v>
      </c>
      <c r="AS281" s="5">
        <v>0.68210427705729104</v>
      </c>
    </row>
    <row r="282" spans="1:45" x14ac:dyDescent="0.25">
      <c r="A282" t="s">
        <v>637</v>
      </c>
      <c r="B282" t="s">
        <v>638</v>
      </c>
      <c r="C282" t="s">
        <v>113</v>
      </c>
      <c r="D282">
        <v>36.369999999999997</v>
      </c>
      <c r="E282" s="2">
        <f t="shared" si="42"/>
        <v>102330.2683</v>
      </c>
      <c r="F282">
        <v>17.11</v>
      </c>
      <c r="G282" s="2">
        <f t="shared" si="43"/>
        <v>48140.524900000004</v>
      </c>
      <c r="H282">
        <v>16.600000000000001</v>
      </c>
      <c r="I282" s="2">
        <f t="shared" si="44"/>
        <v>46705.594000000005</v>
      </c>
      <c r="J282">
        <v>15.18</v>
      </c>
      <c r="K282" s="2">
        <f t="shared" si="45"/>
        <v>42710.296200000004</v>
      </c>
      <c r="L282">
        <v>10.68</v>
      </c>
      <c r="M282" s="2">
        <f t="shared" si="46"/>
        <v>30049.141200000002</v>
      </c>
      <c r="N282">
        <v>1.56</v>
      </c>
      <c r="O282" s="2">
        <f t="shared" si="47"/>
        <v>4389.2004000000006</v>
      </c>
      <c r="P282">
        <v>1.48</v>
      </c>
      <c r="Q282" s="2">
        <f t="shared" si="48"/>
        <v>4164.1131999999998</v>
      </c>
      <c r="R282">
        <v>1.02</v>
      </c>
      <c r="S282" s="3">
        <f t="shared" si="49"/>
        <v>2869.8618000000001</v>
      </c>
      <c r="T282" t="s">
        <v>114</v>
      </c>
      <c r="U282" s="4">
        <f t="shared" si="50"/>
        <v>281359</v>
      </c>
      <c r="V282" s="4">
        <f t="shared" si="51"/>
        <v>0</v>
      </c>
      <c r="W282">
        <v>281359</v>
      </c>
      <c r="X282">
        <v>143342</v>
      </c>
      <c r="Y282">
        <v>138017</v>
      </c>
      <c r="Z282">
        <v>7227</v>
      </c>
      <c r="AA282">
        <v>43182</v>
      </c>
      <c r="AB282">
        <v>50915</v>
      </c>
      <c r="AC282">
        <v>45870</v>
      </c>
      <c r="AD282">
        <v>46047</v>
      </c>
      <c r="AE282">
        <v>43793</v>
      </c>
      <c r="AF282">
        <v>28351</v>
      </c>
      <c r="AG282">
        <v>13261</v>
      </c>
      <c r="AH282">
        <v>2713</v>
      </c>
      <c r="AI282" s="5">
        <v>50.946299922874303</v>
      </c>
      <c r="AJ282" s="5">
        <v>49.053700077125697</v>
      </c>
      <c r="AK282" s="5">
        <v>2.5686045230470702</v>
      </c>
      <c r="AL282" s="5">
        <v>15.347651932228899</v>
      </c>
      <c r="AM282" s="5">
        <v>18.096097867848499</v>
      </c>
      <c r="AN282" s="5">
        <v>16.303015009294199</v>
      </c>
      <c r="AO282" s="5">
        <v>16.365923961913399</v>
      </c>
      <c r="AP282" s="5">
        <v>15.5648122149993</v>
      </c>
      <c r="AQ282" s="5">
        <v>10.0764503712339</v>
      </c>
      <c r="AR282" s="5">
        <v>4.7131955970841499</v>
      </c>
      <c r="AS282" s="5">
        <v>0.964248522350449</v>
      </c>
    </row>
    <row r="283" spans="1:45" x14ac:dyDescent="0.25">
      <c r="A283" t="s">
        <v>639</v>
      </c>
      <c r="B283" t="s">
        <v>640</v>
      </c>
      <c r="C283" t="s">
        <v>559</v>
      </c>
      <c r="D283">
        <v>28.8</v>
      </c>
      <c r="E283" s="2">
        <f t="shared" si="42"/>
        <v>35423.712</v>
      </c>
      <c r="F283">
        <v>22.89</v>
      </c>
      <c r="G283" s="2">
        <f t="shared" si="43"/>
        <v>28154.471099999999</v>
      </c>
      <c r="H283">
        <v>16.54</v>
      </c>
      <c r="I283" s="2">
        <f t="shared" si="44"/>
        <v>20344.034599999999</v>
      </c>
      <c r="J283">
        <v>17.23</v>
      </c>
      <c r="K283" s="2">
        <f t="shared" si="45"/>
        <v>21192.727699999999</v>
      </c>
      <c r="L283">
        <v>10.48</v>
      </c>
      <c r="M283" s="2">
        <f t="shared" si="46"/>
        <v>12890.2952</v>
      </c>
      <c r="N283">
        <v>1.57</v>
      </c>
      <c r="O283" s="2">
        <f t="shared" si="47"/>
        <v>1931.0843000000002</v>
      </c>
      <c r="P283">
        <v>1.87</v>
      </c>
      <c r="Q283" s="2">
        <f t="shared" si="48"/>
        <v>2300.0812999999998</v>
      </c>
      <c r="R283">
        <v>0.6</v>
      </c>
      <c r="S283" s="3">
        <f t="shared" si="49"/>
        <v>737.99399999999991</v>
      </c>
      <c r="T283" t="s">
        <v>560</v>
      </c>
      <c r="U283" s="4">
        <f t="shared" si="50"/>
        <v>122974.40019999999</v>
      </c>
      <c r="V283" s="4">
        <f t="shared" si="51"/>
        <v>-24.599800000010873</v>
      </c>
      <c r="W283">
        <v>122999</v>
      </c>
      <c r="X283">
        <v>60779</v>
      </c>
      <c r="Y283">
        <v>62220</v>
      </c>
      <c r="Z283">
        <v>3461</v>
      </c>
      <c r="AA283">
        <v>17769</v>
      </c>
      <c r="AB283">
        <v>22853</v>
      </c>
      <c r="AC283">
        <v>23059</v>
      </c>
      <c r="AD283">
        <v>19737</v>
      </c>
      <c r="AE283">
        <v>18859</v>
      </c>
      <c r="AF283">
        <v>10917</v>
      </c>
      <c r="AG283">
        <v>5391</v>
      </c>
      <c r="AH283">
        <v>953</v>
      </c>
      <c r="AI283" s="5">
        <v>49.414222879860802</v>
      </c>
      <c r="AJ283" s="5">
        <v>50.585777120139198</v>
      </c>
      <c r="AK283" s="5">
        <v>2.8138440149919899</v>
      </c>
      <c r="AL283" s="5">
        <v>14.4464589143001</v>
      </c>
      <c r="AM283" s="5">
        <v>18.579825852242699</v>
      </c>
      <c r="AN283" s="5">
        <v>18.747306888673901</v>
      </c>
      <c r="AO283" s="5">
        <v>16.046471922536</v>
      </c>
      <c r="AP283" s="5">
        <v>15.3326449808535</v>
      </c>
      <c r="AQ283" s="5">
        <v>8.8756819161131393</v>
      </c>
      <c r="AR283" s="5">
        <v>4.3829624631094601</v>
      </c>
      <c r="AS283" s="5">
        <v>0.77480304717924497</v>
      </c>
    </row>
    <row r="284" spans="1:45" x14ac:dyDescent="0.25">
      <c r="A284" t="s">
        <v>641</v>
      </c>
      <c r="B284" t="s">
        <v>642</v>
      </c>
      <c r="C284" t="s">
        <v>81</v>
      </c>
      <c r="D284">
        <v>28</v>
      </c>
      <c r="E284" s="2">
        <f t="shared" si="42"/>
        <v>56843.360000000001</v>
      </c>
      <c r="F284">
        <v>24.22</v>
      </c>
      <c r="G284" s="2">
        <f t="shared" si="43"/>
        <v>49169.506399999998</v>
      </c>
      <c r="H284">
        <v>16.420000000000002</v>
      </c>
      <c r="I284" s="2">
        <f t="shared" si="44"/>
        <v>33334.570400000004</v>
      </c>
      <c r="J284">
        <v>13.32</v>
      </c>
      <c r="K284" s="2">
        <f t="shared" si="45"/>
        <v>27041.198399999997</v>
      </c>
      <c r="L284">
        <v>14.5</v>
      </c>
      <c r="M284" s="2">
        <f t="shared" si="46"/>
        <v>29436.74</v>
      </c>
      <c r="N284">
        <v>1.57</v>
      </c>
      <c r="O284" s="2">
        <f t="shared" si="47"/>
        <v>3187.2884000000004</v>
      </c>
      <c r="P284">
        <v>1.03</v>
      </c>
      <c r="Q284" s="2">
        <f t="shared" si="48"/>
        <v>2091.0236</v>
      </c>
      <c r="R284">
        <v>0.93</v>
      </c>
      <c r="S284" s="3">
        <f t="shared" si="49"/>
        <v>1888.0116</v>
      </c>
      <c r="T284" t="s">
        <v>82</v>
      </c>
      <c r="U284" s="4">
        <f t="shared" si="50"/>
        <v>202991.69880000001</v>
      </c>
      <c r="V284" s="4">
        <f t="shared" si="51"/>
        <v>-20.301199999987148</v>
      </c>
      <c r="W284">
        <v>203012</v>
      </c>
      <c r="X284">
        <v>105377</v>
      </c>
      <c r="Y284">
        <v>97635</v>
      </c>
      <c r="Z284">
        <v>4955</v>
      </c>
      <c r="AA284">
        <v>32127</v>
      </c>
      <c r="AB284">
        <v>39946</v>
      </c>
      <c r="AC284">
        <v>32575</v>
      </c>
      <c r="AD284">
        <v>33532</v>
      </c>
      <c r="AE284">
        <v>29941</v>
      </c>
      <c r="AF284">
        <v>18905</v>
      </c>
      <c r="AG284">
        <v>9067</v>
      </c>
      <c r="AH284">
        <v>1964</v>
      </c>
      <c r="AI284" s="5">
        <v>51.906783835438297</v>
      </c>
      <c r="AJ284" s="5">
        <v>48.093216164561703</v>
      </c>
      <c r="AK284" s="5">
        <v>2.4407424191673401</v>
      </c>
      <c r="AL284" s="5">
        <v>15.825172896183499</v>
      </c>
      <c r="AM284" s="5">
        <v>19.676669359446699</v>
      </c>
      <c r="AN284" s="5">
        <v>16.0458495064331</v>
      </c>
      <c r="AO284" s="5">
        <v>16.517250211810101</v>
      </c>
      <c r="AP284" s="5">
        <v>14.7483892577779</v>
      </c>
      <c r="AQ284" s="5">
        <v>9.3122574035032404</v>
      </c>
      <c r="AR284" s="5">
        <v>4.4662384489586797</v>
      </c>
      <c r="AS284" s="5">
        <v>0.96743049671940595</v>
      </c>
    </row>
    <row r="285" spans="1:45" x14ac:dyDescent="0.25">
      <c r="A285" t="s">
        <v>643</v>
      </c>
      <c r="B285" t="s">
        <v>644</v>
      </c>
      <c r="C285" t="s">
        <v>559</v>
      </c>
      <c r="D285">
        <v>30.22</v>
      </c>
      <c r="E285" s="2">
        <f t="shared" si="42"/>
        <v>7355.2457999999997</v>
      </c>
      <c r="F285">
        <v>25.06</v>
      </c>
      <c r="G285" s="2">
        <f t="shared" si="43"/>
        <v>6099.3534</v>
      </c>
      <c r="H285">
        <v>16.37</v>
      </c>
      <c r="I285" s="2">
        <f t="shared" si="44"/>
        <v>3984.2943000000005</v>
      </c>
      <c r="J285">
        <v>15.14</v>
      </c>
      <c r="K285" s="2">
        <f t="shared" si="45"/>
        <v>3684.9246000000003</v>
      </c>
      <c r="L285">
        <v>9.01</v>
      </c>
      <c r="M285" s="2">
        <f t="shared" si="46"/>
        <v>2192.9438999999998</v>
      </c>
      <c r="N285">
        <v>1.41</v>
      </c>
      <c r="O285" s="2">
        <f t="shared" si="47"/>
        <v>343.17989999999998</v>
      </c>
      <c r="P285">
        <v>2.08</v>
      </c>
      <c r="Q285" s="2">
        <f t="shared" si="48"/>
        <v>506.25120000000004</v>
      </c>
      <c r="R285">
        <v>0.7</v>
      </c>
      <c r="S285" s="3">
        <f t="shared" si="49"/>
        <v>170.37299999999999</v>
      </c>
      <c r="T285" t="s">
        <v>560</v>
      </c>
      <c r="U285" s="4">
        <f t="shared" si="50"/>
        <v>24336.5661</v>
      </c>
      <c r="V285" s="4">
        <f t="shared" si="51"/>
        <v>-2.4338999999999942</v>
      </c>
      <c r="W285">
        <v>24339</v>
      </c>
      <c r="X285">
        <v>12181</v>
      </c>
      <c r="Y285">
        <v>12158</v>
      </c>
      <c r="Z285">
        <v>651</v>
      </c>
      <c r="AA285">
        <v>3205</v>
      </c>
      <c r="AB285">
        <v>4726</v>
      </c>
      <c r="AC285">
        <v>4313</v>
      </c>
      <c r="AD285">
        <v>3987</v>
      </c>
      <c r="AE285">
        <v>3399</v>
      </c>
      <c r="AF285">
        <v>2549</v>
      </c>
      <c r="AG285">
        <v>1310</v>
      </c>
      <c r="AH285">
        <v>199</v>
      </c>
      <c r="AI285" s="5">
        <v>50.047249270717799</v>
      </c>
      <c r="AJ285" s="5">
        <v>49.952750729282201</v>
      </c>
      <c r="AK285" s="5">
        <v>2.67471958584987</v>
      </c>
      <c r="AL285" s="5">
        <v>13.168166317432901</v>
      </c>
      <c r="AM285" s="5">
        <v>19.417395948888601</v>
      </c>
      <c r="AN285" s="5">
        <v>17.720530835284901</v>
      </c>
      <c r="AO285" s="5">
        <v>16.3811167262418</v>
      </c>
      <c r="AP285" s="5">
        <v>13.9652409712807</v>
      </c>
      <c r="AQ285" s="5">
        <v>10.4729035704014</v>
      </c>
      <c r="AR285" s="5">
        <v>5.3823082295903699</v>
      </c>
      <c r="AS285" s="5">
        <v>0.81761781502937703</v>
      </c>
    </row>
    <row r="286" spans="1:45" x14ac:dyDescent="0.25">
      <c r="A286" t="s">
        <v>645</v>
      </c>
      <c r="B286" t="s">
        <v>646</v>
      </c>
      <c r="C286" t="s">
        <v>233</v>
      </c>
      <c r="D286">
        <v>16.63</v>
      </c>
      <c r="E286" s="2">
        <f t="shared" si="42"/>
        <v>18494.7219</v>
      </c>
      <c r="F286">
        <v>32.74</v>
      </c>
      <c r="G286" s="2">
        <f t="shared" si="43"/>
        <v>36411.136200000001</v>
      </c>
      <c r="H286">
        <v>16.28</v>
      </c>
      <c r="I286" s="2">
        <f t="shared" si="44"/>
        <v>18105.4764</v>
      </c>
      <c r="J286">
        <v>14.39</v>
      </c>
      <c r="K286" s="2">
        <f t="shared" si="45"/>
        <v>16003.5507</v>
      </c>
      <c r="L286">
        <v>17.559999999999999</v>
      </c>
      <c r="M286" s="2">
        <f t="shared" si="46"/>
        <v>19529.002799999998</v>
      </c>
      <c r="N286">
        <v>1.08</v>
      </c>
      <c r="O286" s="2">
        <f t="shared" si="47"/>
        <v>1201.1004</v>
      </c>
      <c r="P286">
        <v>0.89</v>
      </c>
      <c r="Q286" s="2">
        <f t="shared" si="48"/>
        <v>989.79570000000012</v>
      </c>
      <c r="R286">
        <v>0.43</v>
      </c>
      <c r="S286" s="3">
        <f t="shared" si="49"/>
        <v>478.21589999999998</v>
      </c>
      <c r="T286" t="s">
        <v>234</v>
      </c>
      <c r="U286" s="4">
        <f t="shared" si="50"/>
        <v>111213</v>
      </c>
      <c r="V286" s="4">
        <f t="shared" si="51"/>
        <v>0</v>
      </c>
      <c r="W286">
        <v>111213</v>
      </c>
      <c r="X286">
        <v>56920</v>
      </c>
      <c r="Y286">
        <v>54293</v>
      </c>
      <c r="Z286">
        <v>4926</v>
      </c>
      <c r="AA286">
        <v>20958</v>
      </c>
      <c r="AB286">
        <v>21802</v>
      </c>
      <c r="AC286">
        <v>23936</v>
      </c>
      <c r="AD286">
        <v>19075</v>
      </c>
      <c r="AE286">
        <v>11920</v>
      </c>
      <c r="AF286">
        <v>6039</v>
      </c>
      <c r="AG286">
        <v>2212</v>
      </c>
      <c r="AH286">
        <v>345</v>
      </c>
      <c r="AI286" s="5">
        <v>51.181066961596201</v>
      </c>
      <c r="AJ286" s="5">
        <v>48.818933038403799</v>
      </c>
      <c r="AK286" s="5">
        <v>4.4293382967818502</v>
      </c>
      <c r="AL286" s="5">
        <v>18.844919209085301</v>
      </c>
      <c r="AM286" s="5">
        <v>19.603823294039401</v>
      </c>
      <c r="AN286" s="5">
        <v>21.522663717371199</v>
      </c>
      <c r="AO286" s="5">
        <v>17.151771825236299</v>
      </c>
      <c r="AP286" s="5">
        <v>10.718171436792501</v>
      </c>
      <c r="AQ286" s="5">
        <v>5.4301205794286602</v>
      </c>
      <c r="AR286" s="5">
        <v>1.9889761089081299</v>
      </c>
      <c r="AS286" s="5">
        <v>0.31021553235682903</v>
      </c>
    </row>
    <row r="287" spans="1:45" x14ac:dyDescent="0.25">
      <c r="A287" t="s">
        <v>647</v>
      </c>
      <c r="B287" t="s">
        <v>648</v>
      </c>
      <c r="C287" t="s">
        <v>113</v>
      </c>
      <c r="D287">
        <v>30.09</v>
      </c>
      <c r="E287" s="2">
        <f t="shared" si="42"/>
        <v>43030.2045</v>
      </c>
      <c r="F287">
        <v>19.39</v>
      </c>
      <c r="G287" s="2">
        <f t="shared" si="43"/>
        <v>27728.669500000004</v>
      </c>
      <c r="H287">
        <v>16.18</v>
      </c>
      <c r="I287" s="2">
        <f t="shared" si="44"/>
        <v>23138.208999999999</v>
      </c>
      <c r="J287">
        <v>17.39</v>
      </c>
      <c r="K287" s="2">
        <f t="shared" si="45"/>
        <v>24868.569500000001</v>
      </c>
      <c r="L287">
        <v>13.11</v>
      </c>
      <c r="M287" s="2">
        <f t="shared" si="46"/>
        <v>18747.955499999996</v>
      </c>
      <c r="N287">
        <v>1.72</v>
      </c>
      <c r="O287" s="2">
        <f t="shared" si="47"/>
        <v>2459.6860000000001</v>
      </c>
      <c r="P287">
        <v>1.33</v>
      </c>
      <c r="Q287" s="2">
        <f t="shared" si="48"/>
        <v>1901.9665000000002</v>
      </c>
      <c r="R287">
        <v>0.78</v>
      </c>
      <c r="S287" s="3">
        <f t="shared" si="49"/>
        <v>1115.4390000000001</v>
      </c>
      <c r="T287" t="s">
        <v>114</v>
      </c>
      <c r="U287" s="4">
        <f t="shared" si="50"/>
        <v>142990.69950000002</v>
      </c>
      <c r="V287" s="4">
        <f t="shared" si="51"/>
        <v>-14.300499999983003</v>
      </c>
      <c r="W287">
        <v>143005</v>
      </c>
      <c r="X287">
        <v>75187</v>
      </c>
      <c r="Y287">
        <v>67818</v>
      </c>
      <c r="Z287">
        <v>4052</v>
      </c>
      <c r="AA287">
        <v>22890</v>
      </c>
      <c r="AB287">
        <v>26086</v>
      </c>
      <c r="AC287">
        <v>22914</v>
      </c>
      <c r="AD287">
        <v>22810</v>
      </c>
      <c r="AE287">
        <v>22092</v>
      </c>
      <c r="AF287">
        <v>13771</v>
      </c>
      <c r="AG287">
        <v>6906</v>
      </c>
      <c r="AH287">
        <v>1484</v>
      </c>
      <c r="AI287" s="5">
        <v>52.576483339743397</v>
      </c>
      <c r="AJ287" s="5">
        <v>47.423516660256603</v>
      </c>
      <c r="AK287" s="5">
        <v>2.8334673612810701</v>
      </c>
      <c r="AL287" s="5">
        <v>16.006433341491601</v>
      </c>
      <c r="AM287" s="5">
        <v>18.241320233558302</v>
      </c>
      <c r="AN287" s="5">
        <v>16.023215971469501</v>
      </c>
      <c r="AO287" s="5">
        <v>15.950491241565</v>
      </c>
      <c r="AP287" s="5">
        <v>15.448410894724001</v>
      </c>
      <c r="AQ287" s="5">
        <v>9.6297332261109805</v>
      </c>
      <c r="AR287" s="5">
        <v>4.8292017761616703</v>
      </c>
      <c r="AS287" s="5">
        <v>1.0377259536379799</v>
      </c>
    </row>
    <row r="288" spans="1:45" x14ac:dyDescent="0.25">
      <c r="A288" t="s">
        <v>649</v>
      </c>
      <c r="B288" t="s">
        <v>650</v>
      </c>
      <c r="C288" t="s">
        <v>217</v>
      </c>
      <c r="D288">
        <v>22.21</v>
      </c>
      <c r="E288" s="2">
        <f t="shared" si="42"/>
        <v>997.22900000000004</v>
      </c>
      <c r="F288">
        <v>30.11</v>
      </c>
      <c r="G288" s="2">
        <f t="shared" si="43"/>
        <v>1351.9389999999999</v>
      </c>
      <c r="H288">
        <v>16.18</v>
      </c>
      <c r="I288" s="2">
        <f t="shared" si="44"/>
        <v>726.48199999999997</v>
      </c>
      <c r="J288">
        <v>14.27</v>
      </c>
      <c r="K288" s="2">
        <f t="shared" si="45"/>
        <v>640.72299999999996</v>
      </c>
      <c r="L288">
        <v>14.55</v>
      </c>
      <c r="M288" s="2">
        <f t="shared" si="46"/>
        <v>653.29499999999996</v>
      </c>
      <c r="N288">
        <v>0.64</v>
      </c>
      <c r="O288" s="2">
        <f t="shared" si="47"/>
        <v>28.736000000000001</v>
      </c>
      <c r="P288">
        <v>1.1100000000000001</v>
      </c>
      <c r="Q288" s="2">
        <f t="shared" si="48"/>
        <v>49.839000000000006</v>
      </c>
      <c r="R288">
        <v>0.93</v>
      </c>
      <c r="S288" s="3">
        <f t="shared" si="49"/>
        <v>41.756999999999998</v>
      </c>
      <c r="T288" t="s">
        <v>218</v>
      </c>
      <c r="U288" s="4">
        <f t="shared" si="50"/>
        <v>4490</v>
      </c>
      <c r="V288" s="4">
        <f t="shared" si="51"/>
        <v>0</v>
      </c>
      <c r="W288">
        <v>4490</v>
      </c>
      <c r="X288">
        <v>2218</v>
      </c>
      <c r="Y288">
        <v>2272</v>
      </c>
      <c r="Z288">
        <v>81</v>
      </c>
      <c r="AA288">
        <v>479</v>
      </c>
      <c r="AB288">
        <v>760</v>
      </c>
      <c r="AC288">
        <v>741</v>
      </c>
      <c r="AD288">
        <v>791</v>
      </c>
      <c r="AE288">
        <v>802</v>
      </c>
      <c r="AF288">
        <v>550</v>
      </c>
      <c r="AG288">
        <v>229</v>
      </c>
      <c r="AH288">
        <v>57</v>
      </c>
      <c r="AI288" s="5">
        <v>49.398663697104702</v>
      </c>
      <c r="AJ288" s="5">
        <v>50.601336302895298</v>
      </c>
      <c r="AK288" s="5">
        <v>1.8040089086859701</v>
      </c>
      <c r="AL288" s="5">
        <v>10.668151447661501</v>
      </c>
      <c r="AM288" s="5">
        <v>16.926503340757201</v>
      </c>
      <c r="AN288" s="5">
        <v>16.503340757238298</v>
      </c>
      <c r="AO288" s="5">
        <v>17.6169265033408</v>
      </c>
      <c r="AP288" s="5">
        <v>17.861915367483299</v>
      </c>
      <c r="AQ288" s="5">
        <v>12.2494432071269</v>
      </c>
      <c r="AR288" s="5">
        <v>5.1002227171492196</v>
      </c>
      <c r="AS288" s="5">
        <v>1.2694877505567901</v>
      </c>
    </row>
    <row r="289" spans="1:45" x14ac:dyDescent="0.25">
      <c r="A289" t="s">
        <v>651</v>
      </c>
      <c r="B289" t="s">
        <v>652</v>
      </c>
      <c r="C289" t="s">
        <v>411</v>
      </c>
      <c r="D289">
        <v>30.53</v>
      </c>
      <c r="E289" s="2">
        <f t="shared" si="42"/>
        <v>192.33900000000003</v>
      </c>
      <c r="F289">
        <v>18.07</v>
      </c>
      <c r="G289" s="2">
        <f t="shared" si="43"/>
        <v>113.84100000000001</v>
      </c>
      <c r="H289">
        <v>16.03</v>
      </c>
      <c r="I289" s="2">
        <f t="shared" si="44"/>
        <v>100.98900000000002</v>
      </c>
      <c r="J289">
        <v>22.65</v>
      </c>
      <c r="K289" s="2">
        <f t="shared" si="45"/>
        <v>142.69499999999999</v>
      </c>
      <c r="L289">
        <v>9.16</v>
      </c>
      <c r="M289" s="2">
        <f t="shared" si="46"/>
        <v>57.707999999999998</v>
      </c>
      <c r="N289">
        <v>1.27</v>
      </c>
      <c r="O289" s="2">
        <f t="shared" si="47"/>
        <v>8.0009999999999994</v>
      </c>
      <c r="P289">
        <v>1.02</v>
      </c>
      <c r="Q289" s="2">
        <f t="shared" si="48"/>
        <v>6.4260000000000002</v>
      </c>
      <c r="R289">
        <v>1.27</v>
      </c>
      <c r="S289" s="3">
        <f t="shared" si="49"/>
        <v>8.0009999999999994</v>
      </c>
      <c r="T289" t="s">
        <v>412</v>
      </c>
      <c r="U289" s="4">
        <f t="shared" si="50"/>
        <v>630</v>
      </c>
      <c r="V289" s="4">
        <f t="shared" si="51"/>
        <v>0</v>
      </c>
      <c r="W289">
        <v>630</v>
      </c>
      <c r="X289">
        <v>284</v>
      </c>
      <c r="Y289">
        <v>346</v>
      </c>
      <c r="Z289">
        <v>23</v>
      </c>
      <c r="AA289">
        <v>113</v>
      </c>
      <c r="AB289">
        <v>149</v>
      </c>
      <c r="AC289">
        <v>126</v>
      </c>
      <c r="AD289">
        <v>124</v>
      </c>
      <c r="AE289">
        <v>63</v>
      </c>
      <c r="AF289">
        <v>23</v>
      </c>
      <c r="AG289">
        <v>9</v>
      </c>
      <c r="AH289">
        <v>0</v>
      </c>
      <c r="AI289" s="5">
        <v>45.079365079365097</v>
      </c>
      <c r="AJ289" s="5">
        <v>54.920634920634903</v>
      </c>
      <c r="AK289" s="5">
        <v>3.6507936507936498</v>
      </c>
      <c r="AL289" s="5">
        <v>17.936507936507901</v>
      </c>
      <c r="AM289" s="5">
        <v>23.650793650793599</v>
      </c>
      <c r="AN289" s="5">
        <v>20</v>
      </c>
      <c r="AO289" s="5">
        <v>19.682539682539701</v>
      </c>
      <c r="AP289" s="5">
        <v>10</v>
      </c>
      <c r="AQ289" s="5">
        <v>3.6507936507936498</v>
      </c>
      <c r="AR289" s="5">
        <v>1.4285714285714299</v>
      </c>
      <c r="AS289" s="5">
        <v>0</v>
      </c>
    </row>
    <row r="290" spans="1:45" x14ac:dyDescent="0.25">
      <c r="A290" t="s">
        <v>653</v>
      </c>
      <c r="B290" t="s">
        <v>654</v>
      </c>
      <c r="C290" t="s">
        <v>217</v>
      </c>
      <c r="D290">
        <v>26.14</v>
      </c>
      <c r="E290" s="2">
        <f t="shared" si="42"/>
        <v>1115.3938000000001</v>
      </c>
      <c r="F290">
        <v>26.73</v>
      </c>
      <c r="G290" s="2">
        <f t="shared" si="43"/>
        <v>1140.5690999999999</v>
      </c>
      <c r="H290">
        <v>15.75</v>
      </c>
      <c r="I290" s="2">
        <f t="shared" si="44"/>
        <v>672.05250000000001</v>
      </c>
      <c r="J290">
        <v>15.22</v>
      </c>
      <c r="K290" s="2">
        <f t="shared" si="45"/>
        <v>649.43740000000003</v>
      </c>
      <c r="L290">
        <v>13.7</v>
      </c>
      <c r="M290" s="2">
        <f t="shared" si="46"/>
        <v>584.57899999999995</v>
      </c>
      <c r="N290">
        <v>0.83</v>
      </c>
      <c r="O290" s="2">
        <f t="shared" si="47"/>
        <v>35.4161</v>
      </c>
      <c r="P290">
        <v>1.26</v>
      </c>
      <c r="Q290" s="2">
        <f t="shared" si="48"/>
        <v>53.764200000000002</v>
      </c>
      <c r="R290">
        <v>0.37</v>
      </c>
      <c r="S290" s="3">
        <f t="shared" si="49"/>
        <v>15.7879</v>
      </c>
      <c r="T290" t="s">
        <v>218</v>
      </c>
      <c r="U290" s="4">
        <f t="shared" si="50"/>
        <v>4267</v>
      </c>
      <c r="V290" s="4">
        <f t="shared" si="51"/>
        <v>0</v>
      </c>
      <c r="W290">
        <v>4267</v>
      </c>
      <c r="X290">
        <v>2087</v>
      </c>
      <c r="Y290">
        <v>2180</v>
      </c>
      <c r="Z290">
        <v>96</v>
      </c>
      <c r="AA290">
        <v>481</v>
      </c>
      <c r="AB290">
        <v>705</v>
      </c>
      <c r="AC290">
        <v>659</v>
      </c>
      <c r="AD290">
        <v>744</v>
      </c>
      <c r="AE290">
        <v>821</v>
      </c>
      <c r="AF290">
        <v>512</v>
      </c>
      <c r="AG290">
        <v>212</v>
      </c>
      <c r="AH290">
        <v>37</v>
      </c>
      <c r="AI290" s="5">
        <v>48.910241387391601</v>
      </c>
      <c r="AJ290" s="5">
        <v>51.089758612608399</v>
      </c>
      <c r="AK290" s="5">
        <v>2.2498242324818398</v>
      </c>
      <c r="AL290" s="5">
        <v>11.2725568314975</v>
      </c>
      <c r="AM290" s="5">
        <v>16.522146707288499</v>
      </c>
      <c r="AN290" s="5">
        <v>15.4441059292243</v>
      </c>
      <c r="AO290" s="5">
        <v>17.436137801734201</v>
      </c>
      <c r="AP290" s="5">
        <v>19.240684321537401</v>
      </c>
      <c r="AQ290" s="5">
        <v>11.9990625732365</v>
      </c>
      <c r="AR290" s="5">
        <v>4.96836184673072</v>
      </c>
      <c r="AS290" s="5">
        <v>0.86711975626904203</v>
      </c>
    </row>
    <row r="291" spans="1:45" x14ac:dyDescent="0.25">
      <c r="A291" t="s">
        <v>655</v>
      </c>
      <c r="B291" t="s">
        <v>656</v>
      </c>
      <c r="C291" t="s">
        <v>233</v>
      </c>
      <c r="D291">
        <v>36.119999999999997</v>
      </c>
      <c r="E291" s="2">
        <f t="shared" si="42"/>
        <v>40032.879599999993</v>
      </c>
      <c r="F291">
        <v>19.14</v>
      </c>
      <c r="G291" s="2">
        <f t="shared" si="43"/>
        <v>21213.4362</v>
      </c>
      <c r="H291">
        <v>15.74</v>
      </c>
      <c r="I291" s="2">
        <f t="shared" si="44"/>
        <v>17445.1142</v>
      </c>
      <c r="J291">
        <v>13.21</v>
      </c>
      <c r="K291" s="2">
        <f t="shared" si="45"/>
        <v>14641.039300000002</v>
      </c>
      <c r="L291">
        <v>12.41</v>
      </c>
      <c r="M291" s="2">
        <f t="shared" si="46"/>
        <v>13754.3753</v>
      </c>
      <c r="N291">
        <v>1.29</v>
      </c>
      <c r="O291" s="2">
        <f t="shared" si="47"/>
        <v>1429.7457000000002</v>
      </c>
      <c r="P291">
        <v>1.36</v>
      </c>
      <c r="Q291" s="2">
        <f t="shared" si="48"/>
        <v>1507.3288</v>
      </c>
      <c r="R291">
        <v>0.73</v>
      </c>
      <c r="S291" s="3">
        <f t="shared" si="49"/>
        <v>809.08089999999993</v>
      </c>
      <c r="T291" t="s">
        <v>234</v>
      </c>
      <c r="U291" s="4">
        <f t="shared" si="50"/>
        <v>110833</v>
      </c>
      <c r="V291" s="4">
        <f t="shared" si="51"/>
        <v>0</v>
      </c>
      <c r="W291">
        <v>110833</v>
      </c>
      <c r="X291">
        <v>55924</v>
      </c>
      <c r="Y291">
        <v>54909</v>
      </c>
      <c r="Z291">
        <v>3067</v>
      </c>
      <c r="AA291">
        <v>16597</v>
      </c>
      <c r="AB291">
        <v>20655</v>
      </c>
      <c r="AC291">
        <v>16960</v>
      </c>
      <c r="AD291">
        <v>18899</v>
      </c>
      <c r="AE291">
        <v>18141</v>
      </c>
      <c r="AF291">
        <v>9714</v>
      </c>
      <c r="AG291">
        <v>5545</v>
      </c>
      <c r="AH291">
        <v>1255</v>
      </c>
      <c r="AI291" s="5">
        <v>50.457896113973298</v>
      </c>
      <c r="AJ291" s="5">
        <v>49.542103886026702</v>
      </c>
      <c r="AK291" s="5">
        <v>2.7672263675980999</v>
      </c>
      <c r="AL291" s="5">
        <v>14.974781879043199</v>
      </c>
      <c r="AM291" s="5">
        <v>18.636146274124101</v>
      </c>
      <c r="AN291" s="5">
        <v>15.3023016610576</v>
      </c>
      <c r="AO291" s="5">
        <v>17.051780606859001</v>
      </c>
      <c r="AP291" s="5">
        <v>16.367868775545201</v>
      </c>
      <c r="AQ291" s="5">
        <v>8.7645376377071802</v>
      </c>
      <c r="AR291" s="5">
        <v>5.0030225654814</v>
      </c>
      <c r="AS291" s="5">
        <v>1.1323342325841601</v>
      </c>
    </row>
    <row r="292" spans="1:45" x14ac:dyDescent="0.25">
      <c r="A292" t="s">
        <v>657</v>
      </c>
      <c r="B292" t="s">
        <v>658</v>
      </c>
      <c r="C292" t="s">
        <v>217</v>
      </c>
      <c r="D292">
        <v>27.58</v>
      </c>
      <c r="E292" s="2">
        <f t="shared" si="42"/>
        <v>2035.9556</v>
      </c>
      <c r="F292">
        <v>30.24</v>
      </c>
      <c r="G292" s="2">
        <f t="shared" si="43"/>
        <v>2232.3168000000001</v>
      </c>
      <c r="H292">
        <v>15.61</v>
      </c>
      <c r="I292" s="2">
        <f t="shared" si="44"/>
        <v>1152.3301999999999</v>
      </c>
      <c r="J292">
        <v>14.16</v>
      </c>
      <c r="K292" s="2">
        <f t="shared" si="45"/>
        <v>1045.2911999999999</v>
      </c>
      <c r="L292">
        <v>10.02</v>
      </c>
      <c r="M292" s="2">
        <f t="shared" si="46"/>
        <v>739.67639999999994</v>
      </c>
      <c r="N292">
        <v>0.56999999999999995</v>
      </c>
      <c r="O292" s="2">
        <f t="shared" si="47"/>
        <v>42.077399999999997</v>
      </c>
      <c r="P292">
        <v>1.24</v>
      </c>
      <c r="Q292" s="2">
        <f t="shared" si="48"/>
        <v>91.536799999999999</v>
      </c>
      <c r="R292">
        <v>0.57999999999999996</v>
      </c>
      <c r="S292" s="3">
        <f t="shared" si="49"/>
        <v>42.815599999999996</v>
      </c>
      <c r="T292" t="s">
        <v>218</v>
      </c>
      <c r="U292" s="4">
        <f t="shared" si="50"/>
        <v>7382</v>
      </c>
      <c r="V292" s="4">
        <f t="shared" si="51"/>
        <v>0</v>
      </c>
      <c r="W292">
        <v>7382</v>
      </c>
      <c r="X292">
        <v>3533</v>
      </c>
      <c r="Y292">
        <v>3849</v>
      </c>
      <c r="Z292">
        <v>135</v>
      </c>
      <c r="AA292">
        <v>971</v>
      </c>
      <c r="AB292">
        <v>1164</v>
      </c>
      <c r="AC292">
        <v>1090</v>
      </c>
      <c r="AD292">
        <v>1473</v>
      </c>
      <c r="AE292">
        <v>1315</v>
      </c>
      <c r="AF292">
        <v>761</v>
      </c>
      <c r="AG292">
        <v>376</v>
      </c>
      <c r="AH292">
        <v>97</v>
      </c>
      <c r="AI292" s="5">
        <v>47.859658629097801</v>
      </c>
      <c r="AJ292" s="5">
        <v>52.140341370902199</v>
      </c>
      <c r="AK292" s="5">
        <v>1.8287726903278201</v>
      </c>
      <c r="AL292" s="5">
        <v>13.1536169059875</v>
      </c>
      <c r="AM292" s="5">
        <v>15.768084529937701</v>
      </c>
      <c r="AN292" s="5">
        <v>14.765646166350599</v>
      </c>
      <c r="AO292" s="5">
        <v>19.953942021132502</v>
      </c>
      <c r="AP292" s="5">
        <v>17.813600650230299</v>
      </c>
      <c r="AQ292" s="5">
        <v>10.308859387699799</v>
      </c>
      <c r="AR292" s="5">
        <v>5.0934706041723103</v>
      </c>
      <c r="AS292" s="5">
        <v>1.31400704416147</v>
      </c>
    </row>
    <row r="293" spans="1:45" x14ac:dyDescent="0.25">
      <c r="A293" t="s">
        <v>659</v>
      </c>
      <c r="B293" t="s">
        <v>660</v>
      </c>
      <c r="C293" t="s">
        <v>411</v>
      </c>
      <c r="D293">
        <v>26.78</v>
      </c>
      <c r="E293" s="2">
        <f t="shared" si="42"/>
        <v>14707.843800000001</v>
      </c>
      <c r="F293">
        <v>22.84</v>
      </c>
      <c r="G293" s="2">
        <f t="shared" si="43"/>
        <v>12543.956399999999</v>
      </c>
      <c r="H293">
        <v>15.5</v>
      </c>
      <c r="I293" s="2">
        <f t="shared" si="44"/>
        <v>8512.7549999999992</v>
      </c>
      <c r="J293">
        <v>20.64</v>
      </c>
      <c r="K293" s="2">
        <f t="shared" si="45"/>
        <v>11335.6944</v>
      </c>
      <c r="L293">
        <v>11.41</v>
      </c>
      <c r="M293" s="2">
        <f t="shared" si="46"/>
        <v>6266.4861000000001</v>
      </c>
      <c r="N293">
        <v>1.18</v>
      </c>
      <c r="O293" s="2">
        <f t="shared" si="47"/>
        <v>648.06780000000003</v>
      </c>
      <c r="P293">
        <v>1.08</v>
      </c>
      <c r="Q293" s="2">
        <f t="shared" si="48"/>
        <v>593.14679999999998</v>
      </c>
      <c r="R293">
        <v>0.56999999999999995</v>
      </c>
      <c r="S293" s="3">
        <f t="shared" si="49"/>
        <v>313.04969999999997</v>
      </c>
      <c r="T293" t="s">
        <v>412</v>
      </c>
      <c r="U293" s="4">
        <f t="shared" si="50"/>
        <v>54921</v>
      </c>
      <c r="V293" s="4">
        <f t="shared" si="51"/>
        <v>0</v>
      </c>
      <c r="W293">
        <v>54921</v>
      </c>
      <c r="X293">
        <v>27445</v>
      </c>
      <c r="Y293">
        <v>27476</v>
      </c>
      <c r="Z293">
        <v>1790</v>
      </c>
      <c r="AA293">
        <v>7510</v>
      </c>
      <c r="AB293">
        <v>10684</v>
      </c>
      <c r="AC293">
        <v>10849</v>
      </c>
      <c r="AD293">
        <v>9398</v>
      </c>
      <c r="AE293">
        <v>7390</v>
      </c>
      <c r="AF293">
        <v>4588</v>
      </c>
      <c r="AG293">
        <v>2368</v>
      </c>
      <c r="AH293">
        <v>344</v>
      </c>
      <c r="AI293" s="5">
        <v>49.971777644252697</v>
      </c>
      <c r="AJ293" s="5">
        <v>50.028222355747303</v>
      </c>
      <c r="AK293" s="5">
        <v>3.2592268895322398</v>
      </c>
      <c r="AL293" s="5">
        <v>13.674186558875499</v>
      </c>
      <c r="AM293" s="5">
        <v>19.453396697074002</v>
      </c>
      <c r="AN293" s="5">
        <v>19.753828225997299</v>
      </c>
      <c r="AO293" s="5">
        <v>17.1118515686167</v>
      </c>
      <c r="AP293" s="5">
        <v>13.4556909014767</v>
      </c>
      <c r="AQ293" s="5">
        <v>8.3538173012144696</v>
      </c>
      <c r="AR293" s="5">
        <v>4.3116476393365</v>
      </c>
      <c r="AS293" s="5">
        <v>0.62635421787658596</v>
      </c>
    </row>
    <row r="294" spans="1:45" x14ac:dyDescent="0.25">
      <c r="A294" t="s">
        <v>661</v>
      </c>
      <c r="B294" t="s">
        <v>662</v>
      </c>
      <c r="C294" t="s">
        <v>233</v>
      </c>
      <c r="D294">
        <v>22.93</v>
      </c>
      <c r="E294" s="2">
        <f t="shared" si="42"/>
        <v>5231.0208999999995</v>
      </c>
      <c r="F294">
        <v>29.14</v>
      </c>
      <c r="G294" s="2">
        <f t="shared" si="43"/>
        <v>6647.7082000000009</v>
      </c>
      <c r="H294">
        <v>15.41</v>
      </c>
      <c r="I294" s="2">
        <f t="shared" si="44"/>
        <v>3515.4833000000003</v>
      </c>
      <c r="J294">
        <v>14.98</v>
      </c>
      <c r="K294" s="2">
        <f t="shared" si="45"/>
        <v>3417.3874000000001</v>
      </c>
      <c r="L294">
        <v>14.72</v>
      </c>
      <c r="M294" s="2">
        <f t="shared" si="46"/>
        <v>3358.0735999999997</v>
      </c>
      <c r="N294">
        <v>1.23</v>
      </c>
      <c r="O294" s="2">
        <f t="shared" si="47"/>
        <v>280.59989999999999</v>
      </c>
      <c r="P294">
        <v>1.07</v>
      </c>
      <c r="Q294" s="2">
        <f t="shared" si="48"/>
        <v>244.09909999999999</v>
      </c>
      <c r="R294">
        <v>0.53</v>
      </c>
      <c r="S294" s="3">
        <f t="shared" si="49"/>
        <v>120.90890000000002</v>
      </c>
      <c r="T294" t="s">
        <v>234</v>
      </c>
      <c r="U294" s="4">
        <f t="shared" si="50"/>
        <v>22815.281299999999</v>
      </c>
      <c r="V294" s="4">
        <f t="shared" si="51"/>
        <v>2.2812999999987369</v>
      </c>
      <c r="W294">
        <v>22813</v>
      </c>
      <c r="X294">
        <v>11364</v>
      </c>
      <c r="Y294">
        <v>11449</v>
      </c>
      <c r="Z294">
        <v>816</v>
      </c>
      <c r="AA294">
        <v>3982</v>
      </c>
      <c r="AB294">
        <v>4364</v>
      </c>
      <c r="AC294">
        <v>3754</v>
      </c>
      <c r="AD294">
        <v>3921</v>
      </c>
      <c r="AE294">
        <v>3349</v>
      </c>
      <c r="AF294">
        <v>1815</v>
      </c>
      <c r="AG294">
        <v>683</v>
      </c>
      <c r="AH294">
        <v>129</v>
      </c>
      <c r="AI294" s="5">
        <v>49.813702713365203</v>
      </c>
      <c r="AJ294" s="5">
        <v>50.186297286634797</v>
      </c>
      <c r="AK294" s="5">
        <v>3.5769079033884199</v>
      </c>
      <c r="AL294" s="5">
        <v>17.454959891290098</v>
      </c>
      <c r="AM294" s="5">
        <v>19.1294437382194</v>
      </c>
      <c r="AN294" s="5">
        <v>16.455529741813901</v>
      </c>
      <c r="AO294" s="5">
        <v>17.1875684916495</v>
      </c>
      <c r="AP294" s="5">
        <v>14.680226186823299</v>
      </c>
      <c r="AQ294" s="5">
        <v>7.95599000569851</v>
      </c>
      <c r="AR294" s="5">
        <v>2.9939069828606502</v>
      </c>
      <c r="AS294" s="5">
        <v>0.56546705825625698</v>
      </c>
    </row>
    <row r="295" spans="1:45" x14ac:dyDescent="0.25">
      <c r="A295" t="s">
        <v>663</v>
      </c>
      <c r="B295" t="s">
        <v>664</v>
      </c>
      <c r="C295" t="s">
        <v>411</v>
      </c>
      <c r="D295">
        <v>24.28</v>
      </c>
      <c r="E295" s="2">
        <f t="shared" si="42"/>
        <v>1174.6664000000001</v>
      </c>
      <c r="F295">
        <v>24.99</v>
      </c>
      <c r="G295" s="2">
        <f t="shared" si="43"/>
        <v>1209.0162</v>
      </c>
      <c r="H295">
        <v>15.33</v>
      </c>
      <c r="I295" s="2">
        <f t="shared" si="44"/>
        <v>741.66539999999998</v>
      </c>
      <c r="J295">
        <v>25.86</v>
      </c>
      <c r="K295" s="2">
        <f t="shared" si="45"/>
        <v>1251.1068</v>
      </c>
      <c r="L295">
        <v>7.2</v>
      </c>
      <c r="M295" s="2">
        <f t="shared" si="46"/>
        <v>348.33600000000001</v>
      </c>
      <c r="N295">
        <v>0.71</v>
      </c>
      <c r="O295" s="2">
        <f t="shared" si="47"/>
        <v>34.349800000000002</v>
      </c>
      <c r="P295">
        <v>1.07</v>
      </c>
      <c r="Q295" s="2">
        <f t="shared" si="48"/>
        <v>51.766599999999997</v>
      </c>
      <c r="R295">
        <v>0.56000000000000005</v>
      </c>
      <c r="S295" s="3">
        <f t="shared" si="49"/>
        <v>27.0928</v>
      </c>
      <c r="T295" t="s">
        <v>412</v>
      </c>
      <c r="U295" s="4">
        <f t="shared" si="50"/>
        <v>4838</v>
      </c>
      <c r="V295" s="4">
        <f t="shared" si="51"/>
        <v>0</v>
      </c>
      <c r="W295">
        <v>4838</v>
      </c>
      <c r="X295">
        <v>2317</v>
      </c>
      <c r="Y295">
        <v>2521</v>
      </c>
      <c r="Z295">
        <v>153</v>
      </c>
      <c r="AA295">
        <v>675</v>
      </c>
      <c r="AB295">
        <v>1053</v>
      </c>
      <c r="AC295">
        <v>900</v>
      </c>
      <c r="AD295">
        <v>884</v>
      </c>
      <c r="AE295">
        <v>709</v>
      </c>
      <c r="AF295">
        <v>313</v>
      </c>
      <c r="AG295">
        <v>126</v>
      </c>
      <c r="AH295">
        <v>25</v>
      </c>
      <c r="AI295" s="5">
        <v>47.891690781314601</v>
      </c>
      <c r="AJ295" s="5">
        <v>52.108309218685399</v>
      </c>
      <c r="AK295" s="5">
        <v>3.1624638280281099</v>
      </c>
      <c r="AL295" s="5">
        <v>13.952046300124</v>
      </c>
      <c r="AM295" s="5">
        <v>21.765192228193499</v>
      </c>
      <c r="AN295" s="5">
        <v>18.6027284001654</v>
      </c>
      <c r="AO295" s="5">
        <v>18.272013228606902</v>
      </c>
      <c r="AP295" s="5">
        <v>14.6548160396858</v>
      </c>
      <c r="AQ295" s="5">
        <v>6.4696155436130596</v>
      </c>
      <c r="AR295" s="5">
        <v>2.6043819760231499</v>
      </c>
      <c r="AS295" s="5">
        <v>0.51674245556014897</v>
      </c>
    </row>
    <row r="296" spans="1:45" x14ac:dyDescent="0.25">
      <c r="A296" t="s">
        <v>665</v>
      </c>
      <c r="B296" t="s">
        <v>666</v>
      </c>
      <c r="C296" t="s">
        <v>93</v>
      </c>
      <c r="D296">
        <v>16.940000000000001</v>
      </c>
      <c r="E296" s="2">
        <f t="shared" si="42"/>
        <v>788.38760000000013</v>
      </c>
      <c r="F296">
        <v>34.869999999999997</v>
      </c>
      <c r="G296" s="2">
        <f t="shared" si="43"/>
        <v>1622.8497999999997</v>
      </c>
      <c r="H296">
        <v>15.22</v>
      </c>
      <c r="I296" s="2">
        <f t="shared" si="44"/>
        <v>708.33879999999999</v>
      </c>
      <c r="J296">
        <v>20.91</v>
      </c>
      <c r="K296" s="2">
        <f t="shared" si="45"/>
        <v>973.15139999999997</v>
      </c>
      <c r="L296">
        <v>8.52</v>
      </c>
      <c r="M296" s="2">
        <f t="shared" si="46"/>
        <v>396.52079999999995</v>
      </c>
      <c r="N296">
        <v>1.1499999999999999</v>
      </c>
      <c r="O296" s="2">
        <f t="shared" si="47"/>
        <v>53.520999999999994</v>
      </c>
      <c r="P296">
        <v>1.47</v>
      </c>
      <c r="Q296" s="2">
        <f t="shared" si="48"/>
        <v>68.413799999999995</v>
      </c>
      <c r="R296">
        <v>0.92</v>
      </c>
      <c r="S296" s="3">
        <f t="shared" si="49"/>
        <v>42.816800000000001</v>
      </c>
      <c r="T296" t="s">
        <v>94</v>
      </c>
      <c r="U296" s="4">
        <f t="shared" si="50"/>
        <v>4654</v>
      </c>
      <c r="V296" s="4">
        <f t="shared" si="51"/>
        <v>0</v>
      </c>
      <c r="W296">
        <v>4654</v>
      </c>
      <c r="X296">
        <v>2178</v>
      </c>
      <c r="Y296">
        <v>2476</v>
      </c>
      <c r="Z296">
        <v>89</v>
      </c>
      <c r="AA296">
        <v>525</v>
      </c>
      <c r="AB296">
        <v>785</v>
      </c>
      <c r="AC296">
        <v>699</v>
      </c>
      <c r="AD296">
        <v>886</v>
      </c>
      <c r="AE296">
        <v>813</v>
      </c>
      <c r="AF296">
        <v>535</v>
      </c>
      <c r="AG296">
        <v>275</v>
      </c>
      <c r="AH296">
        <v>47</v>
      </c>
      <c r="AI296" s="5">
        <v>46.798452943704298</v>
      </c>
      <c r="AJ296" s="5">
        <v>53.201547056295702</v>
      </c>
      <c r="AK296" s="5">
        <v>1.9123334765792901</v>
      </c>
      <c r="AL296" s="5">
        <v>11.280618822518299</v>
      </c>
      <c r="AM296" s="5">
        <v>16.867211001289199</v>
      </c>
      <c r="AN296" s="5">
        <v>15.0193382036957</v>
      </c>
      <c r="AO296" s="5">
        <v>19.037387193811799</v>
      </c>
      <c r="AP296" s="5">
        <v>17.4688440051569</v>
      </c>
      <c r="AQ296" s="5">
        <v>11.495487752471</v>
      </c>
      <c r="AR296" s="5">
        <v>5.9088955737000397</v>
      </c>
      <c r="AS296" s="5">
        <v>1.00988397077783</v>
      </c>
    </row>
    <row r="297" spans="1:45" x14ac:dyDescent="0.25">
      <c r="A297" t="s">
        <v>667</v>
      </c>
      <c r="B297" t="s">
        <v>668</v>
      </c>
      <c r="C297" t="s">
        <v>233</v>
      </c>
      <c r="D297">
        <v>41.9</v>
      </c>
      <c r="E297" s="2">
        <f t="shared" si="42"/>
        <v>36189.867999999995</v>
      </c>
      <c r="F297">
        <v>16.760000000000002</v>
      </c>
      <c r="G297" s="2">
        <f t="shared" si="43"/>
        <v>14475.947200000002</v>
      </c>
      <c r="H297">
        <v>15.05</v>
      </c>
      <c r="I297" s="2">
        <f t="shared" si="44"/>
        <v>12998.986000000001</v>
      </c>
      <c r="J297">
        <v>11.75</v>
      </c>
      <c r="K297" s="2">
        <f t="shared" si="45"/>
        <v>10148.709999999999</v>
      </c>
      <c r="L297">
        <v>10.56</v>
      </c>
      <c r="M297" s="2">
        <f t="shared" si="46"/>
        <v>9120.8832000000002</v>
      </c>
      <c r="N297">
        <v>1.45</v>
      </c>
      <c r="O297" s="2">
        <f t="shared" si="47"/>
        <v>1252.394</v>
      </c>
      <c r="P297">
        <v>1.53</v>
      </c>
      <c r="Q297" s="2">
        <f t="shared" si="48"/>
        <v>1321.4916000000001</v>
      </c>
      <c r="R297">
        <v>0.99</v>
      </c>
      <c r="S297" s="3">
        <f t="shared" si="49"/>
        <v>855.08280000000002</v>
      </c>
      <c r="T297" t="s">
        <v>234</v>
      </c>
      <c r="U297" s="4">
        <f t="shared" si="50"/>
        <v>86363.362800000003</v>
      </c>
      <c r="V297" s="4">
        <f t="shared" si="51"/>
        <v>-8.6371999999973923</v>
      </c>
      <c r="W297">
        <v>86372</v>
      </c>
      <c r="X297">
        <v>43797</v>
      </c>
      <c r="Y297">
        <v>42575</v>
      </c>
      <c r="Z297">
        <v>2286</v>
      </c>
      <c r="AA297">
        <v>12685</v>
      </c>
      <c r="AB297">
        <v>16281</v>
      </c>
      <c r="AC297">
        <v>13137</v>
      </c>
      <c r="AD297">
        <v>12863</v>
      </c>
      <c r="AE297">
        <v>15833</v>
      </c>
      <c r="AF297">
        <v>8485</v>
      </c>
      <c r="AG297">
        <v>3649</v>
      </c>
      <c r="AH297">
        <v>1153</v>
      </c>
      <c r="AI297" s="5">
        <v>50.707405177603803</v>
      </c>
      <c r="AJ297" s="5">
        <v>49.292594822396097</v>
      </c>
      <c r="AK297" s="5">
        <v>2.6466910572870801</v>
      </c>
      <c r="AL297" s="5">
        <v>14.6864724679294</v>
      </c>
      <c r="AM297" s="5">
        <v>18.849858750521001</v>
      </c>
      <c r="AN297" s="5">
        <v>15.209790209790199</v>
      </c>
      <c r="AO297" s="5">
        <v>14.8925577733525</v>
      </c>
      <c r="AP297" s="5">
        <v>18.3311721391192</v>
      </c>
      <c r="AQ297" s="5">
        <v>9.8237854860371403</v>
      </c>
      <c r="AR297" s="5">
        <v>4.2247487611725996</v>
      </c>
      <c r="AS297" s="5">
        <v>1.3349233547909001</v>
      </c>
    </row>
    <row r="298" spans="1:45" x14ac:dyDescent="0.25">
      <c r="A298" t="s">
        <v>669</v>
      </c>
      <c r="B298" t="s">
        <v>670</v>
      </c>
      <c r="C298" t="s">
        <v>113</v>
      </c>
      <c r="D298">
        <v>29.47</v>
      </c>
      <c r="E298" s="2">
        <f t="shared" si="42"/>
        <v>91470.459499999997</v>
      </c>
      <c r="F298">
        <v>20.77</v>
      </c>
      <c r="G298" s="2">
        <f t="shared" si="43"/>
        <v>64466.964500000002</v>
      </c>
      <c r="H298">
        <v>14.86</v>
      </c>
      <c r="I298" s="2">
        <f t="shared" si="44"/>
        <v>46123.210999999996</v>
      </c>
      <c r="J298">
        <v>16.239999999999998</v>
      </c>
      <c r="K298" s="2">
        <f t="shared" si="45"/>
        <v>50406.523999999998</v>
      </c>
      <c r="L298">
        <v>15.08</v>
      </c>
      <c r="M298" s="2">
        <f t="shared" si="46"/>
        <v>46806.057999999997</v>
      </c>
      <c r="N298">
        <v>1.65</v>
      </c>
      <c r="O298" s="2">
        <f t="shared" si="47"/>
        <v>5121.3525</v>
      </c>
      <c r="P298">
        <v>1.18</v>
      </c>
      <c r="Q298" s="2">
        <f t="shared" si="48"/>
        <v>3662.5429999999997</v>
      </c>
      <c r="R298">
        <v>0.75</v>
      </c>
      <c r="S298" s="3">
        <f t="shared" si="49"/>
        <v>2327.8874999999998</v>
      </c>
      <c r="T298" t="s">
        <v>114</v>
      </c>
      <c r="U298" s="4">
        <f t="shared" si="50"/>
        <v>310385</v>
      </c>
      <c r="V298" s="4">
        <f t="shared" si="51"/>
        <v>0</v>
      </c>
      <c r="W298">
        <v>310385</v>
      </c>
      <c r="X298">
        <v>161651</v>
      </c>
      <c r="Y298">
        <v>148734</v>
      </c>
      <c r="Z298">
        <v>7812</v>
      </c>
      <c r="AA298">
        <v>49472</v>
      </c>
      <c r="AB298">
        <v>58391</v>
      </c>
      <c r="AC298">
        <v>50229</v>
      </c>
      <c r="AD298">
        <v>47134</v>
      </c>
      <c r="AE298">
        <v>47331</v>
      </c>
      <c r="AF298">
        <v>30720</v>
      </c>
      <c r="AG298">
        <v>15517</v>
      </c>
      <c r="AH298">
        <v>3779</v>
      </c>
      <c r="AI298" s="5">
        <v>52.080802873850203</v>
      </c>
      <c r="AJ298" s="5">
        <v>47.919197126149797</v>
      </c>
      <c r="AK298" s="5">
        <v>2.5168742046168502</v>
      </c>
      <c r="AL298" s="5">
        <v>15.938914573835699</v>
      </c>
      <c r="AM298" s="5">
        <v>18.812442611595301</v>
      </c>
      <c r="AN298" s="5">
        <v>16.182805225768</v>
      </c>
      <c r="AO298" s="5">
        <v>15.18565652335</v>
      </c>
      <c r="AP298" s="5">
        <v>15.249126085345599</v>
      </c>
      <c r="AQ298" s="5">
        <v>9.8973855050985104</v>
      </c>
      <c r="AR298" s="5">
        <v>4.9992750938350801</v>
      </c>
      <c r="AS298" s="5">
        <v>1.21752017655492</v>
      </c>
    </row>
    <row r="299" spans="1:45" x14ac:dyDescent="0.25">
      <c r="A299" t="s">
        <v>671</v>
      </c>
      <c r="B299" t="s">
        <v>672</v>
      </c>
      <c r="C299" t="s">
        <v>233</v>
      </c>
      <c r="D299">
        <v>33.049999999999997</v>
      </c>
      <c r="E299" s="2">
        <f t="shared" si="42"/>
        <v>62579.513999999996</v>
      </c>
      <c r="F299">
        <v>20.329999999999998</v>
      </c>
      <c r="G299" s="2">
        <f t="shared" si="43"/>
        <v>38494.448400000001</v>
      </c>
      <c r="H299">
        <v>14.84</v>
      </c>
      <c r="I299" s="2">
        <f t="shared" si="44"/>
        <v>28099.243199999997</v>
      </c>
      <c r="J299">
        <v>11.62</v>
      </c>
      <c r="K299" s="2">
        <f t="shared" si="45"/>
        <v>22002.237599999997</v>
      </c>
      <c r="L299">
        <v>16.260000000000002</v>
      </c>
      <c r="M299" s="2">
        <f t="shared" si="46"/>
        <v>30787.984800000006</v>
      </c>
      <c r="N299">
        <v>1.69</v>
      </c>
      <c r="O299" s="2">
        <f t="shared" si="47"/>
        <v>3199.9812000000002</v>
      </c>
      <c r="P299">
        <v>1.47</v>
      </c>
      <c r="Q299" s="2">
        <f t="shared" si="48"/>
        <v>2783.4155999999998</v>
      </c>
      <c r="R299">
        <v>0.75</v>
      </c>
      <c r="S299" s="3">
        <f t="shared" si="49"/>
        <v>1420.11</v>
      </c>
      <c r="T299" t="s">
        <v>234</v>
      </c>
      <c r="U299" s="4">
        <f t="shared" si="50"/>
        <v>189366.93479999999</v>
      </c>
      <c r="V299" s="4">
        <f t="shared" si="51"/>
        <v>18.934799999988172</v>
      </c>
      <c r="W299">
        <v>189348</v>
      </c>
      <c r="X299">
        <v>97768</v>
      </c>
      <c r="Y299">
        <v>91580</v>
      </c>
      <c r="Z299">
        <v>6529</v>
      </c>
      <c r="AA299">
        <v>34881</v>
      </c>
      <c r="AB299">
        <v>36228</v>
      </c>
      <c r="AC299">
        <v>30952</v>
      </c>
      <c r="AD299">
        <v>33875</v>
      </c>
      <c r="AE299">
        <v>24758</v>
      </c>
      <c r="AF299">
        <v>14309</v>
      </c>
      <c r="AG299">
        <v>6716</v>
      </c>
      <c r="AH299">
        <v>1100</v>
      </c>
      <c r="AI299" s="5">
        <v>51.634028349916598</v>
      </c>
      <c r="AJ299" s="5">
        <v>48.365971650083402</v>
      </c>
      <c r="AK299" s="5">
        <v>3.4481483828717501</v>
      </c>
      <c r="AL299" s="5">
        <v>18.421636352113602</v>
      </c>
      <c r="AM299" s="5">
        <v>19.1330249065213</v>
      </c>
      <c r="AN299" s="5">
        <v>16.346621036398599</v>
      </c>
      <c r="AO299" s="5">
        <v>17.890339480744402</v>
      </c>
      <c r="AP299" s="5">
        <v>13.075395567949</v>
      </c>
      <c r="AQ299" s="5">
        <v>7.5569850222870096</v>
      </c>
      <c r="AR299" s="5">
        <v>3.5469083380864901</v>
      </c>
      <c r="AS299" s="5">
        <v>0.58094091302786399</v>
      </c>
    </row>
    <row r="300" spans="1:45" x14ac:dyDescent="0.25">
      <c r="A300" t="s">
        <v>673</v>
      </c>
      <c r="B300" t="s">
        <v>674</v>
      </c>
      <c r="C300" t="s">
        <v>233</v>
      </c>
      <c r="D300">
        <v>36.159999999999997</v>
      </c>
      <c r="E300" s="2">
        <f t="shared" si="42"/>
        <v>5856.8351999999986</v>
      </c>
      <c r="F300">
        <v>18.93</v>
      </c>
      <c r="G300" s="2">
        <f t="shared" si="43"/>
        <v>3066.0921000000003</v>
      </c>
      <c r="H300">
        <v>14.82</v>
      </c>
      <c r="I300" s="2">
        <f t="shared" si="44"/>
        <v>2400.3953999999999</v>
      </c>
      <c r="J300">
        <v>13.49</v>
      </c>
      <c r="K300" s="2">
        <f t="shared" si="45"/>
        <v>2184.9753000000001</v>
      </c>
      <c r="L300">
        <v>12.71</v>
      </c>
      <c r="M300" s="2">
        <f t="shared" si="46"/>
        <v>2058.6387000000004</v>
      </c>
      <c r="N300">
        <v>1.63</v>
      </c>
      <c r="O300" s="2">
        <f t="shared" si="47"/>
        <v>264.01109999999994</v>
      </c>
      <c r="P300">
        <v>1.51</v>
      </c>
      <c r="Q300" s="2">
        <f t="shared" si="48"/>
        <v>244.57470000000001</v>
      </c>
      <c r="R300">
        <v>0.75</v>
      </c>
      <c r="S300" s="3">
        <f t="shared" si="49"/>
        <v>121.47750000000001</v>
      </c>
      <c r="T300" t="s">
        <v>234</v>
      </c>
      <c r="U300" s="4">
        <f t="shared" si="50"/>
        <v>16197</v>
      </c>
      <c r="V300" s="4">
        <f t="shared" si="51"/>
        <v>0</v>
      </c>
      <c r="W300">
        <v>16197</v>
      </c>
      <c r="X300">
        <v>8201</v>
      </c>
      <c r="Y300">
        <v>7996</v>
      </c>
      <c r="Z300">
        <v>471</v>
      </c>
      <c r="AA300">
        <v>2403</v>
      </c>
      <c r="AB300">
        <v>2878</v>
      </c>
      <c r="AC300">
        <v>2801</v>
      </c>
      <c r="AD300">
        <v>2882</v>
      </c>
      <c r="AE300">
        <v>2494</v>
      </c>
      <c r="AF300">
        <v>1441</v>
      </c>
      <c r="AG300">
        <v>705</v>
      </c>
      <c r="AH300">
        <v>122</v>
      </c>
      <c r="AI300" s="5">
        <v>50.632833240723599</v>
      </c>
      <c r="AJ300" s="5">
        <v>49.367166759276401</v>
      </c>
      <c r="AK300" s="5">
        <v>2.90794591591035</v>
      </c>
      <c r="AL300" s="5">
        <v>14.8360807556955</v>
      </c>
      <c r="AM300" s="5">
        <v>17.7687226029512</v>
      </c>
      <c r="AN300" s="5">
        <v>17.293325924553901</v>
      </c>
      <c r="AO300" s="5">
        <v>17.793418534296499</v>
      </c>
      <c r="AP300" s="5">
        <v>15.397913193801299</v>
      </c>
      <c r="AQ300" s="5">
        <v>8.8967092671482408</v>
      </c>
      <c r="AR300" s="5">
        <v>4.3526578996110397</v>
      </c>
      <c r="AS300" s="5">
        <v>0.75322590603198103</v>
      </c>
    </row>
    <row r="301" spans="1:45" x14ac:dyDescent="0.25">
      <c r="A301" t="s">
        <v>675</v>
      </c>
      <c r="B301" t="s">
        <v>676</v>
      </c>
      <c r="C301" t="s">
        <v>217</v>
      </c>
      <c r="D301">
        <v>28.15</v>
      </c>
      <c r="E301" s="2">
        <f t="shared" si="42"/>
        <v>2318.4339999999997</v>
      </c>
      <c r="F301">
        <v>28.24</v>
      </c>
      <c r="G301" s="2">
        <f t="shared" si="43"/>
        <v>2325.8463999999999</v>
      </c>
      <c r="H301">
        <v>14.8</v>
      </c>
      <c r="I301" s="2">
        <f t="shared" si="44"/>
        <v>1218.9280000000001</v>
      </c>
      <c r="J301">
        <v>13.02</v>
      </c>
      <c r="K301" s="2">
        <f t="shared" si="45"/>
        <v>1072.3271999999999</v>
      </c>
      <c r="L301">
        <v>13.12</v>
      </c>
      <c r="M301" s="2">
        <f t="shared" si="46"/>
        <v>1080.5631999999998</v>
      </c>
      <c r="N301">
        <v>1.02</v>
      </c>
      <c r="O301" s="2">
        <f t="shared" si="47"/>
        <v>84.007199999999997</v>
      </c>
      <c r="P301">
        <v>1.21</v>
      </c>
      <c r="Q301" s="2">
        <f t="shared" si="48"/>
        <v>99.655599999999993</v>
      </c>
      <c r="R301">
        <v>0.44</v>
      </c>
      <c r="S301" s="3">
        <f t="shared" si="49"/>
        <v>36.238399999999999</v>
      </c>
      <c r="T301" t="s">
        <v>218</v>
      </c>
      <c r="U301" s="4">
        <f t="shared" si="50"/>
        <v>8235.9999999999982</v>
      </c>
      <c r="V301" s="4">
        <f t="shared" si="51"/>
        <v>0</v>
      </c>
      <c r="W301">
        <v>8236</v>
      </c>
      <c r="X301">
        <v>4031</v>
      </c>
      <c r="Y301">
        <v>4205</v>
      </c>
      <c r="Z301">
        <v>212</v>
      </c>
      <c r="AA301">
        <v>1053</v>
      </c>
      <c r="AB301">
        <v>1488</v>
      </c>
      <c r="AC301">
        <v>1279</v>
      </c>
      <c r="AD301">
        <v>1474</v>
      </c>
      <c r="AE301">
        <v>1457</v>
      </c>
      <c r="AF301">
        <v>877</v>
      </c>
      <c r="AG301">
        <v>334</v>
      </c>
      <c r="AH301">
        <v>62</v>
      </c>
      <c r="AI301" s="5">
        <v>48.943661971830998</v>
      </c>
      <c r="AJ301" s="5">
        <v>51.056338028169002</v>
      </c>
      <c r="AK301" s="5">
        <v>2.5740650801359899</v>
      </c>
      <c r="AL301" s="5">
        <v>12.7853326857698</v>
      </c>
      <c r="AM301" s="5">
        <v>18.067022826614899</v>
      </c>
      <c r="AN301" s="5">
        <v>15.529383195726099</v>
      </c>
      <c r="AO301" s="5">
        <v>17.897037396794602</v>
      </c>
      <c r="AP301" s="5">
        <v>17.6906265177271</v>
      </c>
      <c r="AQ301" s="5">
        <v>10.648372996600299</v>
      </c>
      <c r="AR301" s="5">
        <v>4.0553666828557597</v>
      </c>
      <c r="AS301" s="5">
        <v>0.75279261777561901</v>
      </c>
    </row>
    <row r="302" spans="1:45" x14ac:dyDescent="0.25">
      <c r="A302" t="s">
        <v>677</v>
      </c>
      <c r="B302" t="s">
        <v>678</v>
      </c>
      <c r="C302" t="s">
        <v>233</v>
      </c>
      <c r="D302">
        <v>34.799999999999997</v>
      </c>
      <c r="E302" s="2">
        <f t="shared" si="42"/>
        <v>47305.38</v>
      </c>
      <c r="F302">
        <v>20.2</v>
      </c>
      <c r="G302" s="2">
        <f t="shared" si="43"/>
        <v>27458.87</v>
      </c>
      <c r="H302">
        <v>14.67</v>
      </c>
      <c r="I302" s="2">
        <f t="shared" si="44"/>
        <v>19941.664499999999</v>
      </c>
      <c r="J302">
        <v>12.95</v>
      </c>
      <c r="K302" s="2">
        <f t="shared" si="45"/>
        <v>17603.5825</v>
      </c>
      <c r="L302">
        <v>13.57</v>
      </c>
      <c r="M302" s="2">
        <f t="shared" si="46"/>
        <v>18446.379499999999</v>
      </c>
      <c r="N302">
        <v>1.46</v>
      </c>
      <c r="O302" s="2">
        <f t="shared" si="47"/>
        <v>1984.6510000000001</v>
      </c>
      <c r="P302">
        <v>1.45</v>
      </c>
      <c r="Q302" s="2">
        <f t="shared" si="48"/>
        <v>1971.0574999999999</v>
      </c>
      <c r="R302">
        <v>0.9</v>
      </c>
      <c r="S302" s="3">
        <f t="shared" si="49"/>
        <v>1223.415</v>
      </c>
      <c r="T302" t="s">
        <v>234</v>
      </c>
      <c r="U302" s="4">
        <f t="shared" si="50"/>
        <v>135935</v>
      </c>
      <c r="V302" s="4">
        <f t="shared" si="51"/>
        <v>0</v>
      </c>
      <c r="W302">
        <v>135935</v>
      </c>
      <c r="X302">
        <v>67971</v>
      </c>
      <c r="Y302">
        <v>67964</v>
      </c>
      <c r="Z302">
        <v>3648</v>
      </c>
      <c r="AA302">
        <v>19889</v>
      </c>
      <c r="AB302">
        <v>26915</v>
      </c>
      <c r="AC302">
        <v>25246</v>
      </c>
      <c r="AD302">
        <v>22607</v>
      </c>
      <c r="AE302">
        <v>18896</v>
      </c>
      <c r="AF302">
        <v>11837</v>
      </c>
      <c r="AG302">
        <v>5694</v>
      </c>
      <c r="AH302">
        <v>1203</v>
      </c>
      <c r="AI302" s="5">
        <v>50.002574759995603</v>
      </c>
      <c r="AJ302" s="5">
        <v>49.997425240004397</v>
      </c>
      <c r="AK302" s="5">
        <v>2.6836355611137699</v>
      </c>
      <c r="AL302" s="5">
        <v>14.631257586346401</v>
      </c>
      <c r="AM302" s="5">
        <v>19.799904366057302</v>
      </c>
      <c r="AN302" s="5">
        <v>18.572111671019201</v>
      </c>
      <c r="AO302" s="5">
        <v>16.6307426343473</v>
      </c>
      <c r="AP302" s="5">
        <v>13.900761393312999</v>
      </c>
      <c r="AQ302" s="5">
        <v>8.7078383050722792</v>
      </c>
      <c r="AR302" s="5">
        <v>4.1887666899621099</v>
      </c>
      <c r="AS302" s="5">
        <v>0.884981792768603</v>
      </c>
    </row>
    <row r="303" spans="1:45" x14ac:dyDescent="0.25">
      <c r="A303" t="s">
        <v>679</v>
      </c>
      <c r="B303" t="s">
        <v>680</v>
      </c>
      <c r="C303" t="s">
        <v>559</v>
      </c>
      <c r="D303">
        <v>23.83</v>
      </c>
      <c r="E303" s="2">
        <f t="shared" si="42"/>
        <v>168.95469999999997</v>
      </c>
      <c r="F303">
        <v>25.39</v>
      </c>
      <c r="G303" s="2">
        <f t="shared" si="43"/>
        <v>180.01510000000002</v>
      </c>
      <c r="H303">
        <v>14.26</v>
      </c>
      <c r="I303" s="2">
        <f t="shared" si="44"/>
        <v>101.10340000000001</v>
      </c>
      <c r="J303">
        <v>23.24</v>
      </c>
      <c r="K303" s="2">
        <f t="shared" si="45"/>
        <v>164.77160000000001</v>
      </c>
      <c r="L303">
        <v>10.55</v>
      </c>
      <c r="M303" s="2">
        <f t="shared" si="46"/>
        <v>74.799500000000009</v>
      </c>
      <c r="N303">
        <v>0.98</v>
      </c>
      <c r="O303" s="2">
        <f t="shared" si="47"/>
        <v>6.948199999999999</v>
      </c>
      <c r="P303">
        <v>1.37</v>
      </c>
      <c r="Q303" s="2">
        <f t="shared" si="48"/>
        <v>9.7133000000000003</v>
      </c>
      <c r="R303">
        <v>0.39</v>
      </c>
      <c r="S303" s="3">
        <f t="shared" si="49"/>
        <v>2.7650999999999999</v>
      </c>
      <c r="T303" t="s">
        <v>560</v>
      </c>
      <c r="U303" s="4">
        <f t="shared" si="50"/>
        <v>709.07090000000005</v>
      </c>
      <c r="V303" s="4">
        <f t="shared" si="51"/>
        <v>7.0900000000051477E-2</v>
      </c>
      <c r="W303">
        <v>709</v>
      </c>
      <c r="X303">
        <v>285</v>
      </c>
      <c r="Y303">
        <v>424</v>
      </c>
      <c r="Z303">
        <v>3</v>
      </c>
      <c r="AA303">
        <v>63</v>
      </c>
      <c r="AB303">
        <v>135</v>
      </c>
      <c r="AC303">
        <v>135</v>
      </c>
      <c r="AD303">
        <v>129</v>
      </c>
      <c r="AE303">
        <v>145</v>
      </c>
      <c r="AF303">
        <v>67</v>
      </c>
      <c r="AG303">
        <v>27</v>
      </c>
      <c r="AH303">
        <v>5</v>
      </c>
      <c r="AI303" s="5">
        <v>40.197461212976002</v>
      </c>
      <c r="AJ303" s="5">
        <v>59.802538787023998</v>
      </c>
      <c r="AK303" s="5">
        <v>0.42313117066290601</v>
      </c>
      <c r="AL303" s="5">
        <v>8.8857545839210204</v>
      </c>
      <c r="AM303" s="5">
        <v>19.040902679830701</v>
      </c>
      <c r="AN303" s="5">
        <v>19.040902679830701</v>
      </c>
      <c r="AO303" s="5">
        <v>18.1946403385049</v>
      </c>
      <c r="AP303" s="5">
        <v>20.451339915373801</v>
      </c>
      <c r="AQ303" s="5">
        <v>9.4499294781382197</v>
      </c>
      <c r="AR303" s="5">
        <v>3.8081805359661498</v>
      </c>
      <c r="AS303" s="5">
        <v>0.70521861777150896</v>
      </c>
    </row>
    <row r="304" spans="1:45" x14ac:dyDescent="0.25">
      <c r="A304" t="s">
        <v>681</v>
      </c>
      <c r="B304" t="s">
        <v>682</v>
      </c>
      <c r="C304" t="s">
        <v>113</v>
      </c>
      <c r="D304">
        <v>35.51</v>
      </c>
      <c r="E304" s="2">
        <f t="shared" si="42"/>
        <v>5947.5698999999995</v>
      </c>
      <c r="F304">
        <v>18</v>
      </c>
      <c r="G304" s="2">
        <f t="shared" si="43"/>
        <v>3014.82</v>
      </c>
      <c r="H304">
        <v>14.22</v>
      </c>
      <c r="I304" s="2">
        <f t="shared" si="44"/>
        <v>2381.7078000000001</v>
      </c>
      <c r="J304">
        <v>17.53</v>
      </c>
      <c r="K304" s="2">
        <f t="shared" si="45"/>
        <v>2936.0997000000002</v>
      </c>
      <c r="L304">
        <v>11.69</v>
      </c>
      <c r="M304" s="2">
        <f t="shared" si="46"/>
        <v>1957.9581000000001</v>
      </c>
      <c r="N304">
        <v>0.99</v>
      </c>
      <c r="O304" s="2">
        <f t="shared" si="47"/>
        <v>165.81509999999997</v>
      </c>
      <c r="P304">
        <v>1.41</v>
      </c>
      <c r="Q304" s="2">
        <f t="shared" si="48"/>
        <v>236.1609</v>
      </c>
      <c r="R304">
        <v>0.65</v>
      </c>
      <c r="S304" s="3">
        <f t="shared" si="49"/>
        <v>108.8685</v>
      </c>
      <c r="T304" t="s">
        <v>114</v>
      </c>
      <c r="U304" s="4">
        <f t="shared" si="50"/>
        <v>16749</v>
      </c>
      <c r="V304" s="4">
        <f t="shared" si="51"/>
        <v>0</v>
      </c>
      <c r="W304">
        <v>16749</v>
      </c>
      <c r="X304">
        <v>8564</v>
      </c>
      <c r="Y304">
        <v>8185</v>
      </c>
      <c r="Z304">
        <v>383</v>
      </c>
      <c r="AA304">
        <v>1815</v>
      </c>
      <c r="AB304">
        <v>2603</v>
      </c>
      <c r="AC304">
        <v>2514</v>
      </c>
      <c r="AD304">
        <v>2591</v>
      </c>
      <c r="AE304">
        <v>3211</v>
      </c>
      <c r="AF304">
        <v>2431</v>
      </c>
      <c r="AG304">
        <v>1024</v>
      </c>
      <c r="AH304">
        <v>177</v>
      </c>
      <c r="AI304" s="5">
        <v>51.131410830497302</v>
      </c>
      <c r="AJ304" s="5">
        <v>48.868589169502698</v>
      </c>
      <c r="AK304" s="5">
        <v>2.28670368380202</v>
      </c>
      <c r="AL304" s="5">
        <v>10.8364678488268</v>
      </c>
      <c r="AM304" s="5">
        <v>15.5412263418712</v>
      </c>
      <c r="AN304" s="5">
        <v>15.009851334407999</v>
      </c>
      <c r="AO304" s="5">
        <v>15.4695802734492</v>
      </c>
      <c r="AP304" s="5">
        <v>19.171293808585599</v>
      </c>
      <c r="AQ304" s="5">
        <v>14.514299361155899</v>
      </c>
      <c r="AR304" s="5">
        <v>6.1137978386769403</v>
      </c>
      <c r="AS304" s="5">
        <v>1.0567795092244301</v>
      </c>
    </row>
    <row r="305" spans="1:45" x14ac:dyDescent="0.25">
      <c r="A305" t="s">
        <v>683</v>
      </c>
      <c r="B305" t="s">
        <v>684</v>
      </c>
      <c r="C305" t="s">
        <v>233</v>
      </c>
      <c r="D305">
        <v>39.29</v>
      </c>
      <c r="E305" s="2">
        <f t="shared" si="42"/>
        <v>31497.221400000002</v>
      </c>
      <c r="F305">
        <v>17.29</v>
      </c>
      <c r="G305" s="2">
        <f t="shared" si="43"/>
        <v>13860.701399999998</v>
      </c>
      <c r="H305">
        <v>14.16</v>
      </c>
      <c r="I305" s="2">
        <f t="shared" si="44"/>
        <v>11351.5056</v>
      </c>
      <c r="J305">
        <v>12.31</v>
      </c>
      <c r="K305" s="2">
        <f t="shared" si="45"/>
        <v>9868.4346000000005</v>
      </c>
      <c r="L305">
        <v>13.16</v>
      </c>
      <c r="M305" s="2">
        <f t="shared" si="46"/>
        <v>10549.845600000001</v>
      </c>
      <c r="N305">
        <v>1.53</v>
      </c>
      <c r="O305" s="2">
        <f t="shared" si="47"/>
        <v>1226.5398</v>
      </c>
      <c r="P305">
        <v>1.44</v>
      </c>
      <c r="Q305" s="2">
        <f t="shared" si="48"/>
        <v>1154.3904</v>
      </c>
      <c r="R305">
        <v>0.82</v>
      </c>
      <c r="S305" s="3">
        <f t="shared" si="49"/>
        <v>657.36119999999994</v>
      </c>
      <c r="T305" t="s">
        <v>234</v>
      </c>
      <c r="U305" s="4">
        <f t="shared" si="50"/>
        <v>80166</v>
      </c>
      <c r="V305" s="4">
        <f t="shared" si="51"/>
        <v>0</v>
      </c>
      <c r="W305">
        <v>80166</v>
      </c>
      <c r="X305">
        <v>40928</v>
      </c>
      <c r="Y305">
        <v>39238</v>
      </c>
      <c r="Z305">
        <v>2113</v>
      </c>
      <c r="AA305">
        <v>12229</v>
      </c>
      <c r="AB305">
        <v>15703</v>
      </c>
      <c r="AC305">
        <v>12451</v>
      </c>
      <c r="AD305">
        <v>12561</v>
      </c>
      <c r="AE305">
        <v>12678</v>
      </c>
      <c r="AF305">
        <v>7558</v>
      </c>
      <c r="AG305">
        <v>3923</v>
      </c>
      <c r="AH305">
        <v>950</v>
      </c>
      <c r="AI305" s="5">
        <v>51.054062819649197</v>
      </c>
      <c r="AJ305" s="5">
        <v>48.945937180350803</v>
      </c>
      <c r="AK305" s="5">
        <v>2.6357807549335099</v>
      </c>
      <c r="AL305" s="5">
        <v>15.254596711823</v>
      </c>
      <c r="AM305" s="5">
        <v>19.5881046827832</v>
      </c>
      <c r="AN305" s="5">
        <v>15.5315220916598</v>
      </c>
      <c r="AO305" s="5">
        <v>15.6687373699573</v>
      </c>
      <c r="AP305" s="5">
        <v>15.8146845296011</v>
      </c>
      <c r="AQ305" s="5">
        <v>9.4279370306613792</v>
      </c>
      <c r="AR305" s="5">
        <v>4.8935957887383701</v>
      </c>
      <c r="AS305" s="5">
        <v>1.1850410398423299</v>
      </c>
    </row>
    <row r="306" spans="1:45" x14ac:dyDescent="0.25">
      <c r="A306" t="s">
        <v>685</v>
      </c>
      <c r="B306" t="s">
        <v>686</v>
      </c>
      <c r="C306" t="s">
        <v>233</v>
      </c>
      <c r="D306">
        <v>29.49</v>
      </c>
      <c r="E306" s="2">
        <f t="shared" si="42"/>
        <v>23293.561199999996</v>
      </c>
      <c r="F306">
        <v>22.34</v>
      </c>
      <c r="G306" s="2">
        <f t="shared" si="43"/>
        <v>17645.9192</v>
      </c>
      <c r="H306">
        <v>14.09</v>
      </c>
      <c r="I306" s="2">
        <f t="shared" si="44"/>
        <v>11129.4092</v>
      </c>
      <c r="J306">
        <v>12.28</v>
      </c>
      <c r="K306" s="2">
        <f t="shared" si="45"/>
        <v>9699.7263999999996</v>
      </c>
      <c r="L306">
        <v>18.149999999999999</v>
      </c>
      <c r="M306" s="2">
        <f t="shared" si="46"/>
        <v>14336.322</v>
      </c>
      <c r="N306">
        <v>1.59</v>
      </c>
      <c r="O306" s="2">
        <f t="shared" si="47"/>
        <v>1255.9092000000001</v>
      </c>
      <c r="P306">
        <v>1.34</v>
      </c>
      <c r="Q306" s="2">
        <f t="shared" si="48"/>
        <v>1058.4392</v>
      </c>
      <c r="R306">
        <v>0.72</v>
      </c>
      <c r="S306" s="3">
        <f t="shared" si="49"/>
        <v>568.71360000000004</v>
      </c>
      <c r="T306" t="s">
        <v>234</v>
      </c>
      <c r="U306" s="4">
        <f t="shared" si="50"/>
        <v>78988</v>
      </c>
      <c r="V306" s="4">
        <f t="shared" si="51"/>
        <v>0</v>
      </c>
      <c r="W306">
        <v>78988</v>
      </c>
      <c r="X306">
        <v>40917</v>
      </c>
      <c r="Y306">
        <v>38071</v>
      </c>
      <c r="Z306">
        <v>3128</v>
      </c>
      <c r="AA306">
        <v>14518</v>
      </c>
      <c r="AB306">
        <v>14704</v>
      </c>
      <c r="AC306">
        <v>14117</v>
      </c>
      <c r="AD306">
        <v>15015</v>
      </c>
      <c r="AE306">
        <v>9228</v>
      </c>
      <c r="AF306">
        <v>5184</v>
      </c>
      <c r="AG306">
        <v>2684</v>
      </c>
      <c r="AH306">
        <v>410</v>
      </c>
      <c r="AI306" s="5">
        <v>51.801539474350498</v>
      </c>
      <c r="AJ306" s="5">
        <v>48.198460525649502</v>
      </c>
      <c r="AK306" s="5">
        <v>3.9600952043348401</v>
      </c>
      <c r="AL306" s="5">
        <v>18.380007089684501</v>
      </c>
      <c r="AM306" s="5">
        <v>18.615485896591899</v>
      </c>
      <c r="AN306" s="5">
        <v>17.8723350382337</v>
      </c>
      <c r="AO306" s="5">
        <v>19.009216589861801</v>
      </c>
      <c r="AP306" s="5">
        <v>11.682787258824099</v>
      </c>
      <c r="AQ306" s="5">
        <v>6.5630222312250002</v>
      </c>
      <c r="AR306" s="5">
        <v>3.3979845039752901</v>
      </c>
      <c r="AS306" s="5">
        <v>0.51906618726895204</v>
      </c>
    </row>
    <row r="307" spans="1:45" x14ac:dyDescent="0.25">
      <c r="A307" t="s">
        <v>687</v>
      </c>
      <c r="B307" t="s">
        <v>688</v>
      </c>
      <c r="C307" t="s">
        <v>147</v>
      </c>
      <c r="D307">
        <v>23.48</v>
      </c>
      <c r="E307" s="2">
        <f t="shared" si="42"/>
        <v>1155.9204</v>
      </c>
      <c r="F307">
        <v>35.51</v>
      </c>
      <c r="G307" s="2">
        <f t="shared" si="43"/>
        <v>1748.1572999999999</v>
      </c>
      <c r="H307">
        <v>13.82</v>
      </c>
      <c r="I307" s="2">
        <f t="shared" si="44"/>
        <v>680.35860000000002</v>
      </c>
      <c r="J307">
        <v>12.17</v>
      </c>
      <c r="K307" s="2">
        <f t="shared" si="45"/>
        <v>599.12909999999999</v>
      </c>
      <c r="L307">
        <v>12.95</v>
      </c>
      <c r="M307" s="2">
        <f t="shared" si="46"/>
        <v>637.52850000000001</v>
      </c>
      <c r="N307">
        <v>0.87</v>
      </c>
      <c r="O307" s="2">
        <f t="shared" si="47"/>
        <v>42.830100000000002</v>
      </c>
      <c r="P307">
        <v>0.75</v>
      </c>
      <c r="Q307" s="2">
        <f t="shared" si="48"/>
        <v>36.922499999999999</v>
      </c>
      <c r="R307">
        <v>0.45</v>
      </c>
      <c r="S307" s="3">
        <f t="shared" si="49"/>
        <v>22.153499999999998</v>
      </c>
      <c r="T307" t="s">
        <v>148</v>
      </c>
      <c r="U307" s="4">
        <f t="shared" si="50"/>
        <v>4923</v>
      </c>
      <c r="V307" s="4">
        <f t="shared" si="51"/>
        <v>0</v>
      </c>
      <c r="W307">
        <v>4923</v>
      </c>
      <c r="X307">
        <v>2361</v>
      </c>
      <c r="Y307">
        <v>2562</v>
      </c>
      <c r="Z307">
        <v>100</v>
      </c>
      <c r="AA307">
        <v>636</v>
      </c>
      <c r="AB307">
        <v>839</v>
      </c>
      <c r="AC307">
        <v>762</v>
      </c>
      <c r="AD307">
        <v>923</v>
      </c>
      <c r="AE307">
        <v>827</v>
      </c>
      <c r="AF307">
        <v>533</v>
      </c>
      <c r="AG307">
        <v>267</v>
      </c>
      <c r="AH307">
        <v>36</v>
      </c>
      <c r="AI307" s="5">
        <v>47.958561852528902</v>
      </c>
      <c r="AJ307" s="5">
        <v>52.041438147471098</v>
      </c>
      <c r="AK307" s="5">
        <v>2.03128173877717</v>
      </c>
      <c r="AL307" s="5">
        <v>12.918951858622799</v>
      </c>
      <c r="AM307" s="5">
        <v>17.042453788340399</v>
      </c>
      <c r="AN307" s="5">
        <v>15.478366849482001</v>
      </c>
      <c r="AO307" s="5">
        <v>18.7487304489133</v>
      </c>
      <c r="AP307" s="5">
        <v>16.7986999796872</v>
      </c>
      <c r="AQ307" s="5">
        <v>10.826731667682299</v>
      </c>
      <c r="AR307" s="5">
        <v>5.4235222425350402</v>
      </c>
      <c r="AS307" s="5">
        <v>0.73126142595978105</v>
      </c>
    </row>
    <row r="308" spans="1:45" x14ac:dyDescent="0.25">
      <c r="A308" t="s">
        <v>689</v>
      </c>
      <c r="B308" t="s">
        <v>690</v>
      </c>
      <c r="C308" t="s">
        <v>93</v>
      </c>
      <c r="D308">
        <v>23.97</v>
      </c>
      <c r="E308" s="2">
        <f t="shared" si="42"/>
        <v>1148.6424</v>
      </c>
      <c r="F308">
        <v>26.89</v>
      </c>
      <c r="G308" s="2">
        <f t="shared" si="43"/>
        <v>1288.5688</v>
      </c>
      <c r="H308">
        <v>13.82</v>
      </c>
      <c r="I308" s="2">
        <f t="shared" si="44"/>
        <v>662.25440000000003</v>
      </c>
      <c r="J308">
        <v>25.24</v>
      </c>
      <c r="K308" s="2">
        <f t="shared" si="45"/>
        <v>1209.5007999999998</v>
      </c>
      <c r="L308">
        <v>8.09</v>
      </c>
      <c r="M308" s="2">
        <f t="shared" si="46"/>
        <v>387.6728</v>
      </c>
      <c r="N308">
        <v>1.03</v>
      </c>
      <c r="O308" s="2">
        <f t="shared" si="47"/>
        <v>49.357600000000005</v>
      </c>
      <c r="P308">
        <v>0.68</v>
      </c>
      <c r="Q308" s="2">
        <f t="shared" si="48"/>
        <v>32.585600000000007</v>
      </c>
      <c r="R308">
        <v>0.28000000000000003</v>
      </c>
      <c r="S308" s="3">
        <f t="shared" si="49"/>
        <v>13.417600000000002</v>
      </c>
      <c r="T308" t="s">
        <v>94</v>
      </c>
      <c r="U308" s="4">
        <f t="shared" si="50"/>
        <v>4792</v>
      </c>
      <c r="V308" s="4">
        <f t="shared" si="51"/>
        <v>0</v>
      </c>
      <c r="W308">
        <v>4792</v>
      </c>
      <c r="X308">
        <v>2172</v>
      </c>
      <c r="Y308">
        <v>2620</v>
      </c>
      <c r="Z308">
        <v>106</v>
      </c>
      <c r="AA308">
        <v>643</v>
      </c>
      <c r="AB308">
        <v>821</v>
      </c>
      <c r="AC308">
        <v>876</v>
      </c>
      <c r="AD308">
        <v>969</v>
      </c>
      <c r="AE308">
        <v>685</v>
      </c>
      <c r="AF308">
        <v>421</v>
      </c>
      <c r="AG308">
        <v>232</v>
      </c>
      <c r="AH308">
        <v>39</v>
      </c>
      <c r="AI308" s="5">
        <v>45.325542570951598</v>
      </c>
      <c r="AJ308" s="5">
        <v>54.674457429048402</v>
      </c>
      <c r="AK308" s="5">
        <v>2.2120200333889799</v>
      </c>
      <c r="AL308" s="5">
        <v>13.4181969949917</v>
      </c>
      <c r="AM308" s="5">
        <v>17.1327212020033</v>
      </c>
      <c r="AN308" s="5">
        <v>18.2804674457429</v>
      </c>
      <c r="AO308" s="5">
        <v>20.221202003338899</v>
      </c>
      <c r="AP308" s="5">
        <v>14.294657762938201</v>
      </c>
      <c r="AQ308" s="5">
        <v>8.7854757929883096</v>
      </c>
      <c r="AR308" s="5">
        <v>4.8414023372287103</v>
      </c>
      <c r="AS308" s="5">
        <v>0.81385642737896502</v>
      </c>
    </row>
    <row r="309" spans="1:45" x14ac:dyDescent="0.25">
      <c r="A309" t="s">
        <v>691</v>
      </c>
      <c r="B309" t="s">
        <v>692</v>
      </c>
      <c r="C309" t="s">
        <v>233</v>
      </c>
      <c r="D309">
        <v>28.96</v>
      </c>
      <c r="E309" s="2">
        <f t="shared" si="42"/>
        <v>7324.2735999999995</v>
      </c>
      <c r="F309">
        <v>23.85</v>
      </c>
      <c r="G309" s="2">
        <f t="shared" si="43"/>
        <v>6031.9035000000013</v>
      </c>
      <c r="H309">
        <v>13.79</v>
      </c>
      <c r="I309" s="2">
        <f t="shared" si="44"/>
        <v>3487.6288999999997</v>
      </c>
      <c r="J309">
        <v>15.07</v>
      </c>
      <c r="K309" s="2">
        <f t="shared" si="45"/>
        <v>3811.3537000000001</v>
      </c>
      <c r="L309">
        <v>15.04</v>
      </c>
      <c r="M309" s="2">
        <f t="shared" si="46"/>
        <v>3803.7663999999995</v>
      </c>
      <c r="N309">
        <v>1.56</v>
      </c>
      <c r="O309" s="2">
        <f t="shared" si="47"/>
        <v>394.53960000000001</v>
      </c>
      <c r="P309">
        <v>1.19</v>
      </c>
      <c r="Q309" s="2">
        <f t="shared" si="48"/>
        <v>300.96289999999999</v>
      </c>
      <c r="R309">
        <v>0.54</v>
      </c>
      <c r="S309" s="3">
        <f t="shared" si="49"/>
        <v>136.57140000000001</v>
      </c>
      <c r="T309" t="s">
        <v>234</v>
      </c>
      <c r="U309" s="4">
        <f t="shared" si="50"/>
        <v>25291</v>
      </c>
      <c r="V309" s="4">
        <f t="shared" si="51"/>
        <v>0</v>
      </c>
      <c r="W309">
        <v>25291</v>
      </c>
      <c r="X309">
        <v>12671</v>
      </c>
      <c r="Y309">
        <v>12620</v>
      </c>
      <c r="Z309">
        <v>776</v>
      </c>
      <c r="AA309">
        <v>4008</v>
      </c>
      <c r="AB309">
        <v>4871</v>
      </c>
      <c r="AC309">
        <v>4203</v>
      </c>
      <c r="AD309">
        <v>4265</v>
      </c>
      <c r="AE309">
        <v>4007</v>
      </c>
      <c r="AF309">
        <v>2128</v>
      </c>
      <c r="AG309">
        <v>885</v>
      </c>
      <c r="AH309">
        <v>148</v>
      </c>
      <c r="AI309" s="5">
        <v>50.100826380926001</v>
      </c>
      <c r="AJ309" s="5">
        <v>49.899173619073999</v>
      </c>
      <c r="AK309" s="5">
        <v>3.06828516072911</v>
      </c>
      <c r="AL309" s="5">
        <v>15.847534696137</v>
      </c>
      <c r="AM309" s="5">
        <v>19.259815744731299</v>
      </c>
      <c r="AN309" s="5">
        <v>16.6185599620418</v>
      </c>
      <c r="AO309" s="5">
        <v>16.863706456842401</v>
      </c>
      <c r="AP309" s="5">
        <v>15.843580720414399</v>
      </c>
      <c r="AQ309" s="5">
        <v>8.4140603376695307</v>
      </c>
      <c r="AR309" s="5">
        <v>3.49926851449132</v>
      </c>
      <c r="AS309" s="5">
        <v>0.58518840694318097</v>
      </c>
    </row>
    <row r="310" spans="1:45" x14ac:dyDescent="0.25">
      <c r="A310" t="s">
        <v>693</v>
      </c>
      <c r="B310" t="s">
        <v>694</v>
      </c>
      <c r="C310" t="s">
        <v>113</v>
      </c>
      <c r="D310">
        <v>33.840000000000003</v>
      </c>
      <c r="E310" s="2">
        <f t="shared" si="42"/>
        <v>6074.2800000000016</v>
      </c>
      <c r="F310">
        <v>19.48</v>
      </c>
      <c r="G310" s="2">
        <f t="shared" si="43"/>
        <v>3496.66</v>
      </c>
      <c r="H310">
        <v>13.78</v>
      </c>
      <c r="I310" s="2">
        <f t="shared" si="44"/>
        <v>2473.5100000000002</v>
      </c>
      <c r="J310">
        <v>17.989999999999998</v>
      </c>
      <c r="K310" s="2">
        <f t="shared" si="45"/>
        <v>3229.2049999999999</v>
      </c>
      <c r="L310">
        <v>11.75</v>
      </c>
      <c r="M310" s="2">
        <f t="shared" si="46"/>
        <v>2109.125</v>
      </c>
      <c r="N310">
        <v>1.29</v>
      </c>
      <c r="O310" s="2">
        <f t="shared" si="47"/>
        <v>231.55500000000001</v>
      </c>
      <c r="P310">
        <v>1.06</v>
      </c>
      <c r="Q310" s="2">
        <f t="shared" si="48"/>
        <v>190.27</v>
      </c>
      <c r="R310">
        <v>0.81</v>
      </c>
      <c r="S310" s="3">
        <f t="shared" si="49"/>
        <v>145.39500000000001</v>
      </c>
      <c r="T310" t="s">
        <v>114</v>
      </c>
      <c r="U310" s="4">
        <f t="shared" si="50"/>
        <v>17950.000000000004</v>
      </c>
      <c r="V310" s="4">
        <f t="shared" si="51"/>
        <v>0</v>
      </c>
      <c r="W310">
        <v>17950</v>
      </c>
      <c r="X310">
        <v>9363</v>
      </c>
      <c r="Y310">
        <v>8587</v>
      </c>
      <c r="Z310">
        <v>496</v>
      </c>
      <c r="AA310">
        <v>2125</v>
      </c>
      <c r="AB310">
        <v>2961</v>
      </c>
      <c r="AC310">
        <v>2702</v>
      </c>
      <c r="AD310">
        <v>2750</v>
      </c>
      <c r="AE310">
        <v>3127</v>
      </c>
      <c r="AF310">
        <v>2472</v>
      </c>
      <c r="AG310">
        <v>1092</v>
      </c>
      <c r="AH310">
        <v>225</v>
      </c>
      <c r="AI310" s="5">
        <v>52.161559888579397</v>
      </c>
      <c r="AJ310" s="5">
        <v>47.838440111420603</v>
      </c>
      <c r="AK310" s="5">
        <v>2.76323119777159</v>
      </c>
      <c r="AL310" s="5">
        <v>11.838440111420599</v>
      </c>
      <c r="AM310" s="5">
        <v>16.4958217270195</v>
      </c>
      <c r="AN310" s="5">
        <v>15.0529247910863</v>
      </c>
      <c r="AO310" s="5">
        <v>15.320334261838401</v>
      </c>
      <c r="AP310" s="5">
        <v>17.4206128133705</v>
      </c>
      <c r="AQ310" s="5">
        <v>13.771587743732599</v>
      </c>
      <c r="AR310" s="5">
        <v>6.0835654596100301</v>
      </c>
      <c r="AS310" s="5">
        <v>1.25348189415042</v>
      </c>
    </row>
    <row r="311" spans="1:45" x14ac:dyDescent="0.25">
      <c r="A311" t="s">
        <v>695</v>
      </c>
      <c r="B311" t="s">
        <v>696</v>
      </c>
      <c r="C311" t="s">
        <v>233</v>
      </c>
      <c r="D311">
        <v>36.4</v>
      </c>
      <c r="E311" s="2">
        <f t="shared" si="42"/>
        <v>146117.24399999998</v>
      </c>
      <c r="F311">
        <v>19.55</v>
      </c>
      <c r="G311" s="2">
        <f t="shared" si="43"/>
        <v>78477.805500000002</v>
      </c>
      <c r="H311">
        <v>13.76</v>
      </c>
      <c r="I311" s="2">
        <f t="shared" si="44"/>
        <v>55235.529600000002</v>
      </c>
      <c r="J311">
        <v>13.48</v>
      </c>
      <c r="K311" s="2">
        <f t="shared" si="45"/>
        <v>54111.550799999997</v>
      </c>
      <c r="L311">
        <v>12.95</v>
      </c>
      <c r="M311" s="2">
        <f t="shared" si="46"/>
        <v>51984.019499999995</v>
      </c>
      <c r="N311">
        <v>1.68</v>
      </c>
      <c r="O311" s="2">
        <f t="shared" si="47"/>
        <v>6743.8728000000001</v>
      </c>
      <c r="P311">
        <v>1.28</v>
      </c>
      <c r="Q311" s="2">
        <f t="shared" si="48"/>
        <v>5138.1887999999999</v>
      </c>
      <c r="R311">
        <v>0.9</v>
      </c>
      <c r="S311" s="3">
        <f t="shared" si="49"/>
        <v>3612.7890000000002</v>
      </c>
      <c r="T311" t="s">
        <v>234</v>
      </c>
      <c r="U311" s="4">
        <f t="shared" si="50"/>
        <v>401421</v>
      </c>
      <c r="V311" s="4">
        <f t="shared" si="51"/>
        <v>0</v>
      </c>
      <c r="W311">
        <v>401421</v>
      </c>
      <c r="X311">
        <v>210813</v>
      </c>
      <c r="Y311">
        <v>190608</v>
      </c>
      <c r="Z311">
        <v>12885</v>
      </c>
      <c r="AA311">
        <v>73042</v>
      </c>
      <c r="AB311">
        <v>81012</v>
      </c>
      <c r="AC311">
        <v>63527</v>
      </c>
      <c r="AD311">
        <v>61761</v>
      </c>
      <c r="AE311">
        <v>61827</v>
      </c>
      <c r="AF311">
        <v>32716</v>
      </c>
      <c r="AG311">
        <v>12500</v>
      </c>
      <c r="AH311">
        <v>2151</v>
      </c>
      <c r="AI311" s="5">
        <v>52.516684478390502</v>
      </c>
      <c r="AJ311" s="5">
        <v>47.483315521609498</v>
      </c>
      <c r="AK311" s="5">
        <v>3.2098470184668999</v>
      </c>
      <c r="AL311" s="5">
        <v>18.195859210155898</v>
      </c>
      <c r="AM311" s="5">
        <v>20.181305910752101</v>
      </c>
      <c r="AN311" s="5">
        <v>15.825529805366401</v>
      </c>
      <c r="AO311" s="5">
        <v>15.385592681997201</v>
      </c>
      <c r="AP311" s="5">
        <v>15.402034273244301</v>
      </c>
      <c r="AQ311" s="5">
        <v>8.1500469581810595</v>
      </c>
      <c r="AR311" s="5">
        <v>3.1139377361921801</v>
      </c>
      <c r="AS311" s="5">
        <v>0.53584640564395003</v>
      </c>
    </row>
    <row r="312" spans="1:45" x14ac:dyDescent="0.25">
      <c r="A312" t="s">
        <v>697</v>
      </c>
      <c r="B312" t="s">
        <v>698</v>
      </c>
      <c r="C312" t="s">
        <v>217</v>
      </c>
      <c r="D312">
        <v>27.91</v>
      </c>
      <c r="E312" s="2">
        <f t="shared" si="42"/>
        <v>5424.8667000000005</v>
      </c>
      <c r="F312">
        <v>26.81</v>
      </c>
      <c r="G312" s="2">
        <f t="shared" si="43"/>
        <v>5211.0596999999998</v>
      </c>
      <c r="H312">
        <v>13.65</v>
      </c>
      <c r="I312" s="2">
        <f t="shared" si="44"/>
        <v>2653.1504999999997</v>
      </c>
      <c r="J312">
        <v>13.79</v>
      </c>
      <c r="K312" s="2">
        <f t="shared" si="45"/>
        <v>2680.3622999999998</v>
      </c>
      <c r="L312">
        <v>14.71</v>
      </c>
      <c r="M312" s="2">
        <f t="shared" si="46"/>
        <v>2859.1827000000003</v>
      </c>
      <c r="N312">
        <v>1.18</v>
      </c>
      <c r="O312" s="2">
        <f t="shared" si="47"/>
        <v>229.35659999999999</v>
      </c>
      <c r="P312">
        <v>1.29</v>
      </c>
      <c r="Q312" s="2">
        <f t="shared" si="48"/>
        <v>250.7373</v>
      </c>
      <c r="R312">
        <v>0.65</v>
      </c>
      <c r="S312" s="3">
        <f t="shared" si="49"/>
        <v>126.34050000000001</v>
      </c>
      <c r="T312" t="s">
        <v>218</v>
      </c>
      <c r="U312" s="4">
        <f t="shared" si="50"/>
        <v>19435.0563</v>
      </c>
      <c r="V312" s="4">
        <f t="shared" si="51"/>
        <v>-1.9436999999998079</v>
      </c>
      <c r="W312">
        <v>19437</v>
      </c>
      <c r="X312">
        <v>9790</v>
      </c>
      <c r="Y312">
        <v>9647</v>
      </c>
      <c r="Z312">
        <v>472</v>
      </c>
      <c r="AA312">
        <v>2620</v>
      </c>
      <c r="AB312">
        <v>4187</v>
      </c>
      <c r="AC312">
        <v>3504</v>
      </c>
      <c r="AD312">
        <v>3155</v>
      </c>
      <c r="AE312">
        <v>2939</v>
      </c>
      <c r="AF312">
        <v>1733</v>
      </c>
      <c r="AG312">
        <v>688</v>
      </c>
      <c r="AH312">
        <v>139</v>
      </c>
      <c r="AI312" s="5">
        <v>50.367855121675198</v>
      </c>
      <c r="AJ312" s="5">
        <v>49.632144878324802</v>
      </c>
      <c r="AK312" s="5">
        <v>2.4283582857436801</v>
      </c>
      <c r="AL312" s="5">
        <v>13.4794464166281</v>
      </c>
      <c r="AM312" s="5">
        <v>21.541390132222102</v>
      </c>
      <c r="AN312" s="5">
        <v>18.027473375520898</v>
      </c>
      <c r="AO312" s="5">
        <v>16.231928795596001</v>
      </c>
      <c r="AP312" s="5">
        <v>15.1206461902557</v>
      </c>
      <c r="AQ312" s="5">
        <v>8.91598497710552</v>
      </c>
      <c r="AR312" s="5">
        <v>3.53964089108401</v>
      </c>
      <c r="AS312" s="5">
        <v>0.715130935844009</v>
      </c>
    </row>
    <row r="313" spans="1:45" x14ac:dyDescent="0.25">
      <c r="A313" t="s">
        <v>699</v>
      </c>
      <c r="B313" t="s">
        <v>700</v>
      </c>
      <c r="C313" t="s">
        <v>217</v>
      </c>
      <c r="D313">
        <v>31.44</v>
      </c>
      <c r="E313" s="2">
        <f t="shared" si="42"/>
        <v>2605.4328</v>
      </c>
      <c r="F313">
        <v>22.7</v>
      </c>
      <c r="G313" s="2">
        <f t="shared" si="43"/>
        <v>1881.1489999999999</v>
      </c>
      <c r="H313">
        <v>13.43</v>
      </c>
      <c r="I313" s="2">
        <f t="shared" si="44"/>
        <v>1112.9440999999999</v>
      </c>
      <c r="J313">
        <v>14.53</v>
      </c>
      <c r="K313" s="2">
        <f t="shared" si="45"/>
        <v>1204.1011000000001</v>
      </c>
      <c r="L313">
        <v>14.87</v>
      </c>
      <c r="M313" s="2">
        <f t="shared" si="46"/>
        <v>1232.2768999999998</v>
      </c>
      <c r="N313">
        <v>1.06</v>
      </c>
      <c r="O313" s="2">
        <f t="shared" si="47"/>
        <v>87.842200000000005</v>
      </c>
      <c r="P313">
        <v>1.45</v>
      </c>
      <c r="Q313" s="2">
        <f t="shared" si="48"/>
        <v>120.16149999999999</v>
      </c>
      <c r="R313">
        <v>0.52</v>
      </c>
      <c r="S313" s="3">
        <f t="shared" si="49"/>
        <v>43.092399999999998</v>
      </c>
      <c r="T313" t="s">
        <v>218</v>
      </c>
      <c r="U313" s="4">
        <f t="shared" si="50"/>
        <v>8287</v>
      </c>
      <c r="V313" s="4">
        <f t="shared" si="51"/>
        <v>0</v>
      </c>
      <c r="W313">
        <v>8287</v>
      </c>
      <c r="X313">
        <v>4142</v>
      </c>
      <c r="Y313">
        <v>4145</v>
      </c>
      <c r="Z313">
        <v>175</v>
      </c>
      <c r="AA313">
        <v>919</v>
      </c>
      <c r="AB313">
        <v>1432</v>
      </c>
      <c r="AC313">
        <v>1358</v>
      </c>
      <c r="AD313">
        <v>1408</v>
      </c>
      <c r="AE313">
        <v>1417</v>
      </c>
      <c r="AF313">
        <v>1027</v>
      </c>
      <c r="AG313">
        <v>457</v>
      </c>
      <c r="AH313">
        <v>94</v>
      </c>
      <c r="AI313" s="5">
        <v>49.981899360444103</v>
      </c>
      <c r="AJ313" s="5">
        <v>50.018100639555897</v>
      </c>
      <c r="AK313" s="5">
        <v>2.1117412815252798</v>
      </c>
      <c r="AL313" s="5">
        <v>11.089658501266999</v>
      </c>
      <c r="AM313" s="5">
        <v>17.280077229395399</v>
      </c>
      <c r="AN313" s="5">
        <v>16.387112344636201</v>
      </c>
      <c r="AO313" s="5">
        <v>16.990466996500501</v>
      </c>
      <c r="AP313" s="5">
        <v>17.099070833836102</v>
      </c>
      <c r="AQ313" s="5">
        <v>12.3929045492941</v>
      </c>
      <c r="AR313" s="5">
        <v>5.5146615180402998</v>
      </c>
      <c r="AS313" s="5">
        <v>1.13430674550501</v>
      </c>
    </row>
    <row r="314" spans="1:45" x14ac:dyDescent="0.25">
      <c r="A314" t="s">
        <v>701</v>
      </c>
      <c r="B314" t="s">
        <v>702</v>
      </c>
      <c r="C314" t="s">
        <v>93</v>
      </c>
      <c r="D314">
        <v>20.8</v>
      </c>
      <c r="E314" s="2">
        <f t="shared" si="42"/>
        <v>10206.56</v>
      </c>
      <c r="F314">
        <v>28.73</v>
      </c>
      <c r="G314" s="2">
        <f t="shared" si="43"/>
        <v>14097.811000000002</v>
      </c>
      <c r="H314">
        <v>13.43</v>
      </c>
      <c r="I314" s="2">
        <f t="shared" si="44"/>
        <v>6590.1009999999997</v>
      </c>
      <c r="J314">
        <v>17.54</v>
      </c>
      <c r="K314" s="2">
        <f t="shared" si="45"/>
        <v>8606.8779999999988</v>
      </c>
      <c r="L314">
        <v>16.66</v>
      </c>
      <c r="M314" s="2">
        <f t="shared" si="46"/>
        <v>8175.0619999999999</v>
      </c>
      <c r="N314">
        <v>1.5</v>
      </c>
      <c r="O314" s="2">
        <f t="shared" si="47"/>
        <v>736.05</v>
      </c>
      <c r="P314">
        <v>0.82</v>
      </c>
      <c r="Q314" s="2">
        <f t="shared" si="48"/>
        <v>402.37399999999997</v>
      </c>
      <c r="R314">
        <v>0.51</v>
      </c>
      <c r="S314" s="3">
        <f t="shared" si="49"/>
        <v>250.25700000000001</v>
      </c>
      <c r="T314" t="s">
        <v>94</v>
      </c>
      <c r="U314" s="4">
        <f t="shared" si="50"/>
        <v>49065.092999999993</v>
      </c>
      <c r="V314" s="4">
        <f t="shared" si="51"/>
        <v>-4.9070000000065193</v>
      </c>
      <c r="W314">
        <v>49070</v>
      </c>
      <c r="X314">
        <v>24996</v>
      </c>
      <c r="Y314">
        <v>24074</v>
      </c>
      <c r="Z314">
        <v>1431</v>
      </c>
      <c r="AA314">
        <v>6773</v>
      </c>
      <c r="AB314">
        <v>10611</v>
      </c>
      <c r="AC314">
        <v>9797</v>
      </c>
      <c r="AD314">
        <v>8397</v>
      </c>
      <c r="AE314">
        <v>6500</v>
      </c>
      <c r="AF314">
        <v>3676</v>
      </c>
      <c r="AG314">
        <v>1600</v>
      </c>
      <c r="AH314">
        <v>285</v>
      </c>
      <c r="AI314" s="5">
        <v>50.939474220501303</v>
      </c>
      <c r="AJ314" s="5">
        <v>49.060525779498697</v>
      </c>
      <c r="AK314" s="5">
        <v>2.9162421031179999</v>
      </c>
      <c r="AL314" s="5">
        <v>13.8027307927451</v>
      </c>
      <c r="AM314" s="5">
        <v>21.624210311799501</v>
      </c>
      <c r="AN314" s="5">
        <v>19.9653556144284</v>
      </c>
      <c r="AO314" s="5">
        <v>17.112288567352799</v>
      </c>
      <c r="AP314" s="5">
        <v>13.2463827185653</v>
      </c>
      <c r="AQ314" s="5">
        <v>7.4913389036070903</v>
      </c>
      <c r="AR314" s="5">
        <v>3.2606480538006899</v>
      </c>
      <c r="AS314" s="5">
        <v>0.58080293458324805</v>
      </c>
    </row>
    <row r="315" spans="1:45" x14ac:dyDescent="0.25">
      <c r="A315" t="s">
        <v>703</v>
      </c>
      <c r="B315" t="s">
        <v>704</v>
      </c>
      <c r="C315" t="s">
        <v>559</v>
      </c>
      <c r="D315">
        <v>26.07</v>
      </c>
      <c r="E315" s="2">
        <f t="shared" si="42"/>
        <v>319.87889999999999</v>
      </c>
      <c r="F315">
        <v>28.97</v>
      </c>
      <c r="G315" s="2">
        <f t="shared" si="43"/>
        <v>355.46189999999996</v>
      </c>
      <c r="H315">
        <v>13.09</v>
      </c>
      <c r="I315" s="2">
        <f t="shared" si="44"/>
        <v>160.61430000000001</v>
      </c>
      <c r="J315">
        <v>19.93</v>
      </c>
      <c r="K315" s="2">
        <f t="shared" si="45"/>
        <v>244.5411</v>
      </c>
      <c r="L315">
        <v>9.15</v>
      </c>
      <c r="M315" s="2">
        <f t="shared" si="46"/>
        <v>112.27050000000001</v>
      </c>
      <c r="N315">
        <v>1.51</v>
      </c>
      <c r="O315" s="2">
        <f t="shared" si="47"/>
        <v>18.527699999999999</v>
      </c>
      <c r="P315">
        <v>1.04</v>
      </c>
      <c r="Q315" s="2">
        <f t="shared" si="48"/>
        <v>12.760800000000001</v>
      </c>
      <c r="R315">
        <v>0.23</v>
      </c>
      <c r="S315" s="3">
        <f t="shared" si="49"/>
        <v>2.8221000000000003</v>
      </c>
      <c r="T315" t="s">
        <v>560</v>
      </c>
      <c r="U315" s="4">
        <f t="shared" si="50"/>
        <v>1226.8772999999999</v>
      </c>
      <c r="V315" s="4">
        <f t="shared" si="51"/>
        <v>-0.1227000000001226</v>
      </c>
      <c r="W315">
        <v>1227</v>
      </c>
      <c r="X315">
        <v>447</v>
      </c>
      <c r="Y315">
        <v>780</v>
      </c>
      <c r="Z315">
        <v>5</v>
      </c>
      <c r="AA315">
        <v>116</v>
      </c>
      <c r="AB315">
        <v>250</v>
      </c>
      <c r="AC315">
        <v>347</v>
      </c>
      <c r="AD315">
        <v>243</v>
      </c>
      <c r="AE315">
        <v>162</v>
      </c>
      <c r="AF315">
        <v>77</v>
      </c>
      <c r="AG315">
        <v>22</v>
      </c>
      <c r="AH315">
        <v>5</v>
      </c>
      <c r="AI315" s="5">
        <v>36.430317848410802</v>
      </c>
      <c r="AJ315" s="5">
        <v>63.569682151589198</v>
      </c>
      <c r="AK315" s="5">
        <v>0.407497962510187</v>
      </c>
      <c r="AL315" s="5">
        <v>9.4539527302363506</v>
      </c>
      <c r="AM315" s="5">
        <v>20.3748981255094</v>
      </c>
      <c r="AN315" s="5">
        <v>28.280358598206998</v>
      </c>
      <c r="AO315" s="5">
        <v>19.804400977995101</v>
      </c>
      <c r="AP315" s="5">
        <v>13.2029339853301</v>
      </c>
      <c r="AQ315" s="5">
        <v>6.2754686226568897</v>
      </c>
      <c r="AR315" s="5">
        <v>1.7929910350448199</v>
      </c>
      <c r="AS315" s="5">
        <v>0.407497962510187</v>
      </c>
    </row>
    <row r="316" spans="1:45" x14ac:dyDescent="0.25">
      <c r="A316" t="s">
        <v>705</v>
      </c>
      <c r="B316" t="s">
        <v>706</v>
      </c>
      <c r="C316" t="s">
        <v>233</v>
      </c>
      <c r="D316">
        <v>35.130000000000003</v>
      </c>
      <c r="E316" s="2">
        <f t="shared" si="42"/>
        <v>36323.717400000001</v>
      </c>
      <c r="F316">
        <v>19.62</v>
      </c>
      <c r="G316" s="2">
        <f t="shared" si="43"/>
        <v>20286.687600000001</v>
      </c>
      <c r="H316">
        <v>12.99</v>
      </c>
      <c r="I316" s="2">
        <f t="shared" si="44"/>
        <v>13431.4002</v>
      </c>
      <c r="J316">
        <v>13.79</v>
      </c>
      <c r="K316" s="2">
        <f t="shared" si="45"/>
        <v>14258.584199999999</v>
      </c>
      <c r="L316">
        <v>14.82</v>
      </c>
      <c r="M316" s="2">
        <f t="shared" si="46"/>
        <v>15323.583600000002</v>
      </c>
      <c r="N316">
        <v>1.32</v>
      </c>
      <c r="O316" s="2">
        <f t="shared" si="47"/>
        <v>1364.8536000000001</v>
      </c>
      <c r="P316">
        <v>1.39</v>
      </c>
      <c r="Q316" s="2">
        <f t="shared" si="48"/>
        <v>1437.2321999999999</v>
      </c>
      <c r="R316">
        <v>0.94</v>
      </c>
      <c r="S316" s="3">
        <f t="shared" si="49"/>
        <v>971.94119999999998</v>
      </c>
      <c r="T316" t="s">
        <v>234</v>
      </c>
      <c r="U316" s="4">
        <f t="shared" si="50"/>
        <v>103398</v>
      </c>
      <c r="V316" s="4">
        <f t="shared" si="51"/>
        <v>0</v>
      </c>
      <c r="W316">
        <v>103398</v>
      </c>
      <c r="X316">
        <v>51783</v>
      </c>
      <c r="Y316">
        <v>51615</v>
      </c>
      <c r="Z316">
        <v>2658</v>
      </c>
      <c r="AA316">
        <v>14923</v>
      </c>
      <c r="AB316">
        <v>20799</v>
      </c>
      <c r="AC316">
        <v>17697</v>
      </c>
      <c r="AD316">
        <v>17617</v>
      </c>
      <c r="AE316">
        <v>15070</v>
      </c>
      <c r="AF316">
        <v>9130</v>
      </c>
      <c r="AG316">
        <v>4526</v>
      </c>
      <c r="AH316">
        <v>978</v>
      </c>
      <c r="AI316" s="5">
        <v>50.081239482388398</v>
      </c>
      <c r="AJ316" s="5">
        <v>49.918760517611602</v>
      </c>
      <c r="AK316" s="5">
        <v>2.5706493355770901</v>
      </c>
      <c r="AL316" s="5">
        <v>14.432580900984499</v>
      </c>
      <c r="AM316" s="5">
        <v>20.115476121395002</v>
      </c>
      <c r="AN316" s="5">
        <v>17.115418093193298</v>
      </c>
      <c r="AO316" s="5">
        <v>17.0380471575853</v>
      </c>
      <c r="AP316" s="5">
        <v>14.5747499951643</v>
      </c>
      <c r="AQ316" s="5">
        <v>8.8299580262674304</v>
      </c>
      <c r="AR316" s="5">
        <v>4.3772606820247999</v>
      </c>
      <c r="AS316" s="5">
        <v>0.94585968780827501</v>
      </c>
    </row>
    <row r="317" spans="1:45" x14ac:dyDescent="0.25">
      <c r="A317" t="s">
        <v>707</v>
      </c>
      <c r="B317" t="s">
        <v>708</v>
      </c>
      <c r="C317" t="s">
        <v>559</v>
      </c>
      <c r="D317">
        <v>9.09</v>
      </c>
      <c r="E317" s="2">
        <f t="shared" si="42"/>
        <v>17.7255</v>
      </c>
      <c r="F317">
        <v>45.45</v>
      </c>
      <c r="G317" s="2">
        <f t="shared" si="43"/>
        <v>88.627499999999998</v>
      </c>
      <c r="H317">
        <v>12.99</v>
      </c>
      <c r="I317" s="2">
        <f t="shared" si="44"/>
        <v>25.330500000000001</v>
      </c>
      <c r="J317">
        <v>25.97</v>
      </c>
      <c r="K317" s="2">
        <f t="shared" si="45"/>
        <v>50.641499999999994</v>
      </c>
      <c r="L317">
        <v>5.19</v>
      </c>
      <c r="M317" s="2">
        <f t="shared" si="46"/>
        <v>10.1205</v>
      </c>
      <c r="N317">
        <v>1.3</v>
      </c>
      <c r="O317" s="2">
        <f t="shared" si="47"/>
        <v>2.5350000000000001</v>
      </c>
      <c r="P317">
        <v>0</v>
      </c>
      <c r="Q317" s="2">
        <f t="shared" si="48"/>
        <v>0</v>
      </c>
      <c r="R317">
        <v>0</v>
      </c>
      <c r="S317" s="3">
        <f t="shared" si="49"/>
        <v>0</v>
      </c>
      <c r="T317" t="s">
        <v>560</v>
      </c>
      <c r="U317" s="4">
        <f t="shared" si="50"/>
        <v>194.98050000000001</v>
      </c>
      <c r="V317" s="4">
        <f t="shared" si="51"/>
        <v>-1.9499999999993634E-2</v>
      </c>
      <c r="W317">
        <v>195</v>
      </c>
      <c r="X317">
        <v>30</v>
      </c>
      <c r="Y317">
        <v>165</v>
      </c>
      <c r="Z317">
        <v>3</v>
      </c>
      <c r="AA317">
        <v>5</v>
      </c>
      <c r="AB317">
        <v>62</v>
      </c>
      <c r="AC317">
        <v>62</v>
      </c>
      <c r="AD317">
        <v>35</v>
      </c>
      <c r="AE317">
        <v>18</v>
      </c>
      <c r="AF317">
        <v>8</v>
      </c>
      <c r="AG317">
        <v>1</v>
      </c>
      <c r="AH317">
        <v>1</v>
      </c>
      <c r="AI317" s="5">
        <v>15.384615384615399</v>
      </c>
      <c r="AJ317" s="5">
        <v>84.615384615384599</v>
      </c>
      <c r="AK317" s="5">
        <v>1.5384615384615401</v>
      </c>
      <c r="AL317" s="5">
        <v>2.5641025641025599</v>
      </c>
      <c r="AM317" s="5">
        <v>31.794871794871799</v>
      </c>
      <c r="AN317" s="5">
        <v>31.794871794871799</v>
      </c>
      <c r="AO317" s="5">
        <v>17.948717948717899</v>
      </c>
      <c r="AP317" s="5">
        <v>9.2307692307692299</v>
      </c>
      <c r="AQ317" s="5">
        <v>4.1025641025641004</v>
      </c>
      <c r="AR317" s="5">
        <v>0.512820512820513</v>
      </c>
      <c r="AS317" s="5">
        <v>0.512820512820513</v>
      </c>
    </row>
    <row r="318" spans="1:45" x14ac:dyDescent="0.25">
      <c r="A318" t="s">
        <v>709</v>
      </c>
      <c r="B318" t="s">
        <v>710</v>
      </c>
      <c r="C318" t="s">
        <v>233</v>
      </c>
      <c r="D318">
        <v>34.36</v>
      </c>
      <c r="E318" s="2">
        <f t="shared" si="42"/>
        <v>45207.452000000005</v>
      </c>
      <c r="F318">
        <v>20.37</v>
      </c>
      <c r="G318" s="2">
        <f t="shared" si="43"/>
        <v>26800.808999999997</v>
      </c>
      <c r="H318">
        <v>12.48</v>
      </c>
      <c r="I318" s="2">
        <f t="shared" si="44"/>
        <v>16419.936000000002</v>
      </c>
      <c r="J318">
        <v>13.28</v>
      </c>
      <c r="K318" s="2">
        <f t="shared" si="45"/>
        <v>17472.495999999999</v>
      </c>
      <c r="L318">
        <v>16.02</v>
      </c>
      <c r="M318" s="2">
        <f t="shared" si="46"/>
        <v>21077.513999999999</v>
      </c>
      <c r="N318">
        <v>1.36</v>
      </c>
      <c r="O318" s="2">
        <f t="shared" si="47"/>
        <v>1789.3520000000001</v>
      </c>
      <c r="P318">
        <v>1.28</v>
      </c>
      <c r="Q318" s="2">
        <f t="shared" si="48"/>
        <v>1684.096</v>
      </c>
      <c r="R318">
        <v>0.85</v>
      </c>
      <c r="S318" s="3">
        <f t="shared" si="49"/>
        <v>1118.345</v>
      </c>
      <c r="T318" t="s">
        <v>234</v>
      </c>
      <c r="U318" s="4">
        <f t="shared" si="50"/>
        <v>131570</v>
      </c>
      <c r="V318" s="4">
        <f t="shared" si="51"/>
        <v>0</v>
      </c>
      <c r="W318">
        <v>131570</v>
      </c>
      <c r="X318">
        <v>65592</v>
      </c>
      <c r="Y318">
        <v>65978</v>
      </c>
      <c r="Z318">
        <v>2900</v>
      </c>
      <c r="AA318">
        <v>17542</v>
      </c>
      <c r="AB318">
        <v>29469</v>
      </c>
      <c r="AC318">
        <v>22580</v>
      </c>
      <c r="AD318">
        <v>20923</v>
      </c>
      <c r="AE318">
        <v>19497</v>
      </c>
      <c r="AF318">
        <v>10977</v>
      </c>
      <c r="AG318">
        <v>6422</v>
      </c>
      <c r="AH318">
        <v>1260</v>
      </c>
      <c r="AI318" s="5">
        <v>49.853310025081697</v>
      </c>
      <c r="AJ318" s="5">
        <v>50.146689974918303</v>
      </c>
      <c r="AK318" s="5">
        <v>2.2041498821919898</v>
      </c>
      <c r="AL318" s="5">
        <v>13.332826632211001</v>
      </c>
      <c r="AM318" s="5">
        <v>22.397963061488198</v>
      </c>
      <c r="AN318" s="5">
        <v>17.1619670137569</v>
      </c>
      <c r="AO318" s="5">
        <v>15.9025613741734</v>
      </c>
      <c r="AP318" s="5">
        <v>14.818727673481799</v>
      </c>
      <c r="AQ318" s="5">
        <v>8.3430873299384292</v>
      </c>
      <c r="AR318" s="5">
        <v>4.8810519115299797</v>
      </c>
      <c r="AS318" s="5">
        <v>0.95766512122824399</v>
      </c>
    </row>
    <row r="319" spans="1:45" x14ac:dyDescent="0.25">
      <c r="A319" t="s">
        <v>711</v>
      </c>
      <c r="B319" t="s">
        <v>712</v>
      </c>
      <c r="C319" t="s">
        <v>113</v>
      </c>
      <c r="D319">
        <v>33.17</v>
      </c>
      <c r="E319" s="2">
        <f t="shared" si="42"/>
        <v>2324.2219</v>
      </c>
      <c r="F319">
        <v>15.37</v>
      </c>
      <c r="G319" s="2">
        <f t="shared" si="43"/>
        <v>1076.9758999999999</v>
      </c>
      <c r="H319">
        <v>12.33</v>
      </c>
      <c r="I319" s="2">
        <f t="shared" si="44"/>
        <v>863.96309999999994</v>
      </c>
      <c r="J319">
        <v>16.309999999999999</v>
      </c>
      <c r="K319" s="2">
        <f t="shared" si="45"/>
        <v>1142.8416999999999</v>
      </c>
      <c r="L319">
        <v>17.32</v>
      </c>
      <c r="M319" s="2">
        <f t="shared" si="46"/>
        <v>1213.6124</v>
      </c>
      <c r="N319">
        <v>2.2200000000000002</v>
      </c>
      <c r="O319" s="2">
        <f t="shared" si="47"/>
        <v>155.55540000000002</v>
      </c>
      <c r="P319">
        <v>2.56</v>
      </c>
      <c r="Q319" s="2">
        <f t="shared" si="48"/>
        <v>179.37920000000003</v>
      </c>
      <c r="R319">
        <v>0.73</v>
      </c>
      <c r="S319" s="3">
        <f t="shared" si="49"/>
        <v>51.1511</v>
      </c>
      <c r="T319" t="s">
        <v>114</v>
      </c>
      <c r="U319" s="4">
        <f t="shared" si="50"/>
        <v>7007.7006999999994</v>
      </c>
      <c r="V319" s="4">
        <f t="shared" si="51"/>
        <v>0.70069999999941501</v>
      </c>
      <c r="W319">
        <v>7007</v>
      </c>
      <c r="X319">
        <v>3611</v>
      </c>
      <c r="Y319">
        <v>3396</v>
      </c>
      <c r="Z319">
        <v>216</v>
      </c>
      <c r="AA319">
        <v>1035</v>
      </c>
      <c r="AB319">
        <v>1786</v>
      </c>
      <c r="AC319">
        <v>1477</v>
      </c>
      <c r="AD319">
        <v>1077</v>
      </c>
      <c r="AE319">
        <v>852</v>
      </c>
      <c r="AF319">
        <v>446</v>
      </c>
      <c r="AG319">
        <v>105</v>
      </c>
      <c r="AH319">
        <v>13</v>
      </c>
      <c r="AI319" s="5">
        <v>51.534180105608698</v>
      </c>
      <c r="AJ319" s="5">
        <v>48.465819894391302</v>
      </c>
      <c r="AK319" s="5">
        <v>3.0826316540602301</v>
      </c>
      <c r="AL319" s="5">
        <v>14.770943342371901</v>
      </c>
      <c r="AM319" s="5">
        <v>25.488796917368301</v>
      </c>
      <c r="AN319" s="5">
        <v>21.078921078921098</v>
      </c>
      <c r="AO319" s="5">
        <v>15.3703439417725</v>
      </c>
      <c r="AP319" s="5">
        <v>12.1592693021264</v>
      </c>
      <c r="AQ319" s="5">
        <v>6.3650635079206497</v>
      </c>
      <c r="AR319" s="5">
        <v>1.4985014985014999</v>
      </c>
      <c r="AS319" s="5">
        <v>0.18552875695732801</v>
      </c>
    </row>
    <row r="320" spans="1:45" x14ac:dyDescent="0.25">
      <c r="A320" t="s">
        <v>713</v>
      </c>
      <c r="B320" t="s">
        <v>714</v>
      </c>
      <c r="C320" t="s">
        <v>113</v>
      </c>
      <c r="D320">
        <v>22.58</v>
      </c>
      <c r="E320" s="2">
        <f t="shared" si="42"/>
        <v>10776.530799999999</v>
      </c>
      <c r="F320">
        <v>26.33</v>
      </c>
      <c r="G320" s="2">
        <f t="shared" si="43"/>
        <v>12566.255799999999</v>
      </c>
      <c r="H320">
        <v>12.2</v>
      </c>
      <c r="I320" s="2">
        <f t="shared" si="44"/>
        <v>5822.5719999999992</v>
      </c>
      <c r="J320">
        <v>16.600000000000001</v>
      </c>
      <c r="K320" s="2">
        <f t="shared" si="45"/>
        <v>7922.5160000000005</v>
      </c>
      <c r="L320">
        <v>19.59</v>
      </c>
      <c r="M320" s="2">
        <f t="shared" si="46"/>
        <v>9349.5234</v>
      </c>
      <c r="N320">
        <v>1.45</v>
      </c>
      <c r="O320" s="2">
        <f t="shared" si="47"/>
        <v>692.02699999999993</v>
      </c>
      <c r="P320">
        <v>0.8</v>
      </c>
      <c r="Q320" s="2">
        <f t="shared" si="48"/>
        <v>381.80800000000005</v>
      </c>
      <c r="R320">
        <v>0.45</v>
      </c>
      <c r="S320" s="3">
        <f t="shared" si="49"/>
        <v>214.767</v>
      </c>
      <c r="T320" t="s">
        <v>114</v>
      </c>
      <c r="U320" s="4">
        <f t="shared" si="50"/>
        <v>47726</v>
      </c>
      <c r="V320" s="4">
        <f t="shared" si="51"/>
        <v>0</v>
      </c>
      <c r="W320">
        <v>47726</v>
      </c>
      <c r="X320">
        <v>24933</v>
      </c>
      <c r="Y320">
        <v>22793</v>
      </c>
      <c r="Z320">
        <v>1336</v>
      </c>
      <c r="AA320">
        <v>7686</v>
      </c>
      <c r="AB320">
        <v>9478</v>
      </c>
      <c r="AC320">
        <v>8156</v>
      </c>
      <c r="AD320">
        <v>7492</v>
      </c>
      <c r="AE320">
        <v>7120</v>
      </c>
      <c r="AF320">
        <v>4262</v>
      </c>
      <c r="AG320">
        <v>1798</v>
      </c>
      <c r="AH320">
        <v>398</v>
      </c>
      <c r="AI320" s="5">
        <v>52.241964547625997</v>
      </c>
      <c r="AJ320" s="5">
        <v>47.758035452374003</v>
      </c>
      <c r="AK320" s="5">
        <v>2.7993127435779201</v>
      </c>
      <c r="AL320" s="5">
        <v>16.104429451451999</v>
      </c>
      <c r="AM320" s="5">
        <v>19.8591962452332</v>
      </c>
      <c r="AN320" s="5">
        <v>17.0892176172317</v>
      </c>
      <c r="AO320" s="5">
        <v>15.6979424213217</v>
      </c>
      <c r="AP320" s="5">
        <v>14.918493064577</v>
      </c>
      <c r="AQ320" s="5">
        <v>8.9301428990487395</v>
      </c>
      <c r="AR320" s="5">
        <v>3.7673385575996301</v>
      </c>
      <c r="AS320" s="5">
        <v>0.83392699995809405</v>
      </c>
    </row>
    <row r="321" spans="1:45" x14ac:dyDescent="0.25">
      <c r="A321" t="s">
        <v>715</v>
      </c>
      <c r="B321" t="s">
        <v>716</v>
      </c>
      <c r="C321" t="s">
        <v>559</v>
      </c>
      <c r="D321">
        <v>21.84</v>
      </c>
      <c r="E321" s="2">
        <f t="shared" si="42"/>
        <v>0</v>
      </c>
      <c r="F321">
        <v>35.99</v>
      </c>
      <c r="G321" s="2">
        <f t="shared" si="43"/>
        <v>0</v>
      </c>
      <c r="H321">
        <v>12.18</v>
      </c>
      <c r="I321" s="2">
        <f t="shared" si="44"/>
        <v>0</v>
      </c>
      <c r="J321">
        <v>18.84</v>
      </c>
      <c r="K321" s="2">
        <f t="shared" si="45"/>
        <v>0</v>
      </c>
      <c r="L321">
        <v>8.43</v>
      </c>
      <c r="M321" s="2">
        <f t="shared" si="46"/>
        <v>0</v>
      </c>
      <c r="N321">
        <v>1.78</v>
      </c>
      <c r="O321" s="2">
        <f t="shared" si="47"/>
        <v>0</v>
      </c>
      <c r="P321">
        <v>0.56000000000000005</v>
      </c>
      <c r="Q321" s="2">
        <f t="shared" si="48"/>
        <v>0</v>
      </c>
      <c r="R321">
        <v>0.37</v>
      </c>
      <c r="S321" s="3">
        <f t="shared" si="49"/>
        <v>0</v>
      </c>
      <c r="U321" s="4">
        <f t="shared" si="50"/>
        <v>0</v>
      </c>
      <c r="V321" s="4">
        <f t="shared" si="51"/>
        <v>0</v>
      </c>
      <c r="AI321" s="5" t="e">
        <v>#DIV/0!</v>
      </c>
      <c r="AJ321" s="5" t="e">
        <v>#DIV/0!</v>
      </c>
      <c r="AK321" s="5" t="e">
        <v>#DIV/0!</v>
      </c>
      <c r="AL321" s="5" t="e">
        <v>#DIV/0!</v>
      </c>
      <c r="AM321" s="5" t="e">
        <v>#DIV/0!</v>
      </c>
      <c r="AN321" s="5" t="e">
        <v>#DIV/0!</v>
      </c>
      <c r="AO321" s="5" t="e">
        <v>#DIV/0!</v>
      </c>
      <c r="AP321" s="5" t="e">
        <v>#DIV/0!</v>
      </c>
      <c r="AQ321" s="5" t="e">
        <v>#DIV/0!</v>
      </c>
      <c r="AR321" s="5" t="e">
        <v>#DIV/0!</v>
      </c>
      <c r="AS321" s="5" t="e">
        <v>#DIV/0!</v>
      </c>
    </row>
    <row r="322" spans="1:45" x14ac:dyDescent="0.25">
      <c r="A322" t="s">
        <v>717</v>
      </c>
      <c r="B322" t="s">
        <v>718</v>
      </c>
      <c r="C322" t="s">
        <v>411</v>
      </c>
      <c r="D322">
        <v>26.38</v>
      </c>
      <c r="E322" s="2">
        <f t="shared" si="42"/>
        <v>300.99579999999997</v>
      </c>
      <c r="F322">
        <v>28.31</v>
      </c>
      <c r="G322" s="2">
        <f t="shared" si="43"/>
        <v>323.01709999999997</v>
      </c>
      <c r="H322">
        <v>12.15</v>
      </c>
      <c r="I322" s="2">
        <f t="shared" si="44"/>
        <v>138.63149999999999</v>
      </c>
      <c r="J322">
        <v>23.9</v>
      </c>
      <c r="K322" s="2">
        <f t="shared" si="45"/>
        <v>272.69899999999996</v>
      </c>
      <c r="L322">
        <v>7.32</v>
      </c>
      <c r="M322" s="2">
        <f t="shared" si="46"/>
        <v>83.521200000000007</v>
      </c>
      <c r="N322">
        <v>0.55000000000000004</v>
      </c>
      <c r="O322" s="2">
        <f t="shared" si="47"/>
        <v>6.275500000000001</v>
      </c>
      <c r="P322">
        <v>0.83</v>
      </c>
      <c r="Q322" s="2">
        <f t="shared" si="48"/>
        <v>9.4702999999999999</v>
      </c>
      <c r="R322">
        <v>0.55000000000000004</v>
      </c>
      <c r="S322" s="3">
        <f t="shared" si="49"/>
        <v>6.275500000000001</v>
      </c>
      <c r="T322" t="s">
        <v>412</v>
      </c>
      <c r="U322" s="4">
        <f t="shared" si="50"/>
        <v>1140.8858999999998</v>
      </c>
      <c r="V322" s="4">
        <f t="shared" si="51"/>
        <v>-0.11410000000023501</v>
      </c>
      <c r="W322">
        <v>1141</v>
      </c>
      <c r="X322">
        <v>493</v>
      </c>
      <c r="Y322">
        <v>648</v>
      </c>
      <c r="Z322">
        <v>27</v>
      </c>
      <c r="AA322">
        <v>164</v>
      </c>
      <c r="AB322">
        <v>220</v>
      </c>
      <c r="AC322">
        <v>203</v>
      </c>
      <c r="AD322">
        <v>201</v>
      </c>
      <c r="AE322">
        <v>177</v>
      </c>
      <c r="AF322">
        <v>109</v>
      </c>
      <c r="AG322">
        <v>33</v>
      </c>
      <c r="AH322">
        <v>7</v>
      </c>
      <c r="AI322" s="5">
        <v>43.207712532865898</v>
      </c>
      <c r="AJ322" s="5">
        <v>56.792287467134102</v>
      </c>
      <c r="AK322" s="5">
        <v>2.3663453111305901</v>
      </c>
      <c r="AL322" s="5">
        <v>14.373356704644999</v>
      </c>
      <c r="AM322" s="5">
        <v>19.281332164767701</v>
      </c>
      <c r="AN322" s="5">
        <v>17.791411042944802</v>
      </c>
      <c r="AO322" s="5">
        <v>17.616126205083301</v>
      </c>
      <c r="AP322" s="5">
        <v>15.512708150745</v>
      </c>
      <c r="AQ322" s="5">
        <v>9.5530236634531107</v>
      </c>
      <c r="AR322" s="5">
        <v>2.8921998247151599</v>
      </c>
      <c r="AS322" s="5">
        <v>0.61349693251533699</v>
      </c>
    </row>
    <row r="323" spans="1:45" x14ac:dyDescent="0.25">
      <c r="A323" t="s">
        <v>719</v>
      </c>
      <c r="B323" t="s">
        <v>720</v>
      </c>
      <c r="C323" t="s">
        <v>113</v>
      </c>
      <c r="D323">
        <v>26.44</v>
      </c>
      <c r="E323" s="2">
        <f t="shared" ref="E323:E347" si="52">D323*W323/100</f>
        <v>4702.8828000000003</v>
      </c>
      <c r="F323">
        <v>22.61</v>
      </c>
      <c r="G323" s="2">
        <f t="shared" ref="G323:G347" si="53">F323*W323/100</f>
        <v>4021.6406999999999</v>
      </c>
      <c r="H323">
        <v>12.11</v>
      </c>
      <c r="I323" s="2">
        <f t="shared" ref="I323:I347" si="54">H323*W323/100</f>
        <v>2154.0056999999997</v>
      </c>
      <c r="J323">
        <v>19.28</v>
      </c>
      <c r="K323" s="2">
        <f t="shared" ref="K323:K347" si="55">J323*W323/100</f>
        <v>3429.3336000000004</v>
      </c>
      <c r="L323">
        <v>16.559999999999999</v>
      </c>
      <c r="M323" s="2">
        <f t="shared" ref="M323:M347" si="56">L323*W323/100</f>
        <v>2945.5271999999995</v>
      </c>
      <c r="N323">
        <v>1.5</v>
      </c>
      <c r="O323" s="2">
        <f t="shared" ref="O323:O347" si="57">N323*W323/100</f>
        <v>266.80500000000001</v>
      </c>
      <c r="P323">
        <v>1.02</v>
      </c>
      <c r="Q323" s="2">
        <f t="shared" ref="Q323:Q347" si="58">P323*W323/100</f>
        <v>181.42740000000001</v>
      </c>
      <c r="R323">
        <v>0.49</v>
      </c>
      <c r="S323" s="3">
        <f t="shared" ref="S323:S347" si="59">R323*W323/100</f>
        <v>87.156299999999987</v>
      </c>
      <c r="T323" t="s">
        <v>114</v>
      </c>
      <c r="U323" s="4">
        <f t="shared" si="50"/>
        <v>17788.778699999999</v>
      </c>
      <c r="V323" s="4">
        <f t="shared" si="51"/>
        <v>1.7786999999989348</v>
      </c>
      <c r="W323">
        <v>17787</v>
      </c>
      <c r="X323">
        <v>9283</v>
      </c>
      <c r="Y323">
        <v>8504</v>
      </c>
      <c r="Z323">
        <v>415</v>
      </c>
      <c r="AA323">
        <v>2049</v>
      </c>
      <c r="AB323">
        <v>2722</v>
      </c>
      <c r="AC323">
        <v>2954</v>
      </c>
      <c r="AD323">
        <v>2814</v>
      </c>
      <c r="AE323">
        <v>3122</v>
      </c>
      <c r="AF323">
        <v>2469</v>
      </c>
      <c r="AG323">
        <v>1058</v>
      </c>
      <c r="AH323">
        <v>184</v>
      </c>
      <c r="AI323" s="5">
        <v>52.189801540450901</v>
      </c>
      <c r="AJ323" s="5">
        <v>47.810198459549099</v>
      </c>
      <c r="AK323" s="5">
        <v>2.33316467082701</v>
      </c>
      <c r="AL323" s="5">
        <v>11.5196491819868</v>
      </c>
      <c r="AM323" s="5">
        <v>15.3033114072075</v>
      </c>
      <c r="AN323" s="5">
        <v>16.607634789453002</v>
      </c>
      <c r="AO323" s="5">
        <v>15.8205430932704</v>
      </c>
      <c r="AP323" s="5">
        <v>17.552144824872101</v>
      </c>
      <c r="AQ323" s="5">
        <v>13.880924270534701</v>
      </c>
      <c r="AR323" s="5">
        <v>5.9481643897228302</v>
      </c>
      <c r="AS323" s="5">
        <v>1.0344633721257099</v>
      </c>
    </row>
    <row r="324" spans="1:45" x14ac:dyDescent="0.25">
      <c r="A324" t="s">
        <v>721</v>
      </c>
      <c r="B324" t="s">
        <v>722</v>
      </c>
      <c r="C324" t="s">
        <v>233</v>
      </c>
      <c r="D324">
        <v>35.17</v>
      </c>
      <c r="E324" s="2">
        <f t="shared" si="52"/>
        <v>109754.6673</v>
      </c>
      <c r="F324">
        <v>20.3</v>
      </c>
      <c r="G324" s="2">
        <f t="shared" si="53"/>
        <v>63350.007000000005</v>
      </c>
      <c r="H324">
        <v>11.98</v>
      </c>
      <c r="I324" s="2">
        <f t="shared" si="54"/>
        <v>37385.866200000004</v>
      </c>
      <c r="J324">
        <v>12.9</v>
      </c>
      <c r="K324" s="2">
        <f t="shared" si="55"/>
        <v>40256.900999999998</v>
      </c>
      <c r="L324">
        <v>15.69</v>
      </c>
      <c r="M324" s="2">
        <f t="shared" si="56"/>
        <v>48963.626099999994</v>
      </c>
      <c r="N324">
        <v>1.82</v>
      </c>
      <c r="O324" s="2">
        <f t="shared" si="57"/>
        <v>5679.6558000000005</v>
      </c>
      <c r="P324">
        <v>1.25</v>
      </c>
      <c r="Q324" s="2">
        <f t="shared" si="58"/>
        <v>3900.8625000000002</v>
      </c>
      <c r="R324">
        <v>0.88</v>
      </c>
      <c r="S324" s="3">
        <f t="shared" si="59"/>
        <v>2746.2072000000003</v>
      </c>
      <c r="T324" t="s">
        <v>234</v>
      </c>
      <c r="U324" s="4">
        <f t="shared" ref="U324:U347" si="60">SUM(S324,Q324,O324,M324,K324,I324,G324,E324)</f>
        <v>312037.79310000001</v>
      </c>
      <c r="V324" s="4">
        <f t="shared" ref="V324:V347" si="61">U324-W324</f>
        <v>-31.206899999990128</v>
      </c>
      <c r="W324">
        <v>312069</v>
      </c>
      <c r="X324">
        <v>164285</v>
      </c>
      <c r="Y324">
        <v>147784</v>
      </c>
      <c r="Z324">
        <v>8633</v>
      </c>
      <c r="AA324">
        <v>49956</v>
      </c>
      <c r="AB324">
        <v>62012</v>
      </c>
      <c r="AC324">
        <v>53300</v>
      </c>
      <c r="AD324">
        <v>47862</v>
      </c>
      <c r="AE324">
        <v>44021</v>
      </c>
      <c r="AF324">
        <v>30674</v>
      </c>
      <c r="AG324">
        <v>13298</v>
      </c>
      <c r="AH324">
        <v>2313</v>
      </c>
      <c r="AI324" s="5">
        <v>52.643806337701001</v>
      </c>
      <c r="AJ324" s="5">
        <v>47.356193662298999</v>
      </c>
      <c r="AK324" s="5">
        <v>2.7663753849309001</v>
      </c>
      <c r="AL324" s="5">
        <v>16.0079982311604</v>
      </c>
      <c r="AM324" s="5">
        <v>19.871246423066701</v>
      </c>
      <c r="AN324" s="5">
        <v>17.079556123806</v>
      </c>
      <c r="AO324" s="5">
        <v>15.336992780442801</v>
      </c>
      <c r="AP324" s="5">
        <v>14.106175236886701</v>
      </c>
      <c r="AQ324" s="5">
        <v>9.8292364829573007</v>
      </c>
      <c r="AR324" s="5">
        <v>4.2612370982058501</v>
      </c>
      <c r="AS324" s="5">
        <v>0.74118223854339904</v>
      </c>
    </row>
    <row r="325" spans="1:45" x14ac:dyDescent="0.25">
      <c r="A325" t="s">
        <v>723</v>
      </c>
      <c r="B325" t="s">
        <v>724</v>
      </c>
      <c r="C325" t="s">
        <v>113</v>
      </c>
      <c r="D325">
        <v>21.97</v>
      </c>
      <c r="E325" s="2">
        <f t="shared" si="52"/>
        <v>3015.3825000000002</v>
      </c>
      <c r="F325">
        <v>28.97</v>
      </c>
      <c r="G325" s="2">
        <f t="shared" si="53"/>
        <v>3976.1325000000002</v>
      </c>
      <c r="H325">
        <v>11.91</v>
      </c>
      <c r="I325" s="2">
        <f t="shared" si="54"/>
        <v>1634.6475</v>
      </c>
      <c r="J325">
        <v>16.52</v>
      </c>
      <c r="K325" s="2">
        <f t="shared" si="55"/>
        <v>2267.37</v>
      </c>
      <c r="L325">
        <v>17.95</v>
      </c>
      <c r="M325" s="2">
        <f t="shared" si="56"/>
        <v>2463.6374999999998</v>
      </c>
      <c r="N325">
        <v>1.29</v>
      </c>
      <c r="O325" s="2">
        <f t="shared" si="57"/>
        <v>177.05250000000001</v>
      </c>
      <c r="P325">
        <v>0.98</v>
      </c>
      <c r="Q325" s="2">
        <f t="shared" si="58"/>
        <v>134.505</v>
      </c>
      <c r="R325">
        <v>0.41</v>
      </c>
      <c r="S325" s="3">
        <f t="shared" si="59"/>
        <v>56.272500000000001</v>
      </c>
      <c r="T325" t="s">
        <v>114</v>
      </c>
      <c r="U325" s="4">
        <f t="shared" si="60"/>
        <v>13725</v>
      </c>
      <c r="V325" s="4">
        <f t="shared" si="61"/>
        <v>0</v>
      </c>
      <c r="W325">
        <v>13725</v>
      </c>
      <c r="X325">
        <v>7005</v>
      </c>
      <c r="Y325">
        <v>6720</v>
      </c>
      <c r="Z325">
        <v>329</v>
      </c>
      <c r="AA325">
        <v>1661</v>
      </c>
      <c r="AB325">
        <v>2242</v>
      </c>
      <c r="AC325">
        <v>2361</v>
      </c>
      <c r="AD325">
        <v>2344</v>
      </c>
      <c r="AE325">
        <v>2322</v>
      </c>
      <c r="AF325">
        <v>1594</v>
      </c>
      <c r="AG325">
        <v>725</v>
      </c>
      <c r="AH325">
        <v>147</v>
      </c>
      <c r="AI325" s="5">
        <v>51.0382513661202</v>
      </c>
      <c r="AJ325" s="5">
        <v>48.9617486338798</v>
      </c>
      <c r="AK325" s="5">
        <v>2.3970856102003602</v>
      </c>
      <c r="AL325" s="5">
        <v>12.102003642987199</v>
      </c>
      <c r="AM325" s="5">
        <v>16.3351548269581</v>
      </c>
      <c r="AN325" s="5">
        <v>17.202185792349699</v>
      </c>
      <c r="AO325" s="5">
        <v>17.078324225865199</v>
      </c>
      <c r="AP325" s="5">
        <v>16.918032786885199</v>
      </c>
      <c r="AQ325" s="5">
        <v>11.613843351548301</v>
      </c>
      <c r="AR325" s="5">
        <v>5.2823315118397103</v>
      </c>
      <c r="AS325" s="5">
        <v>1.0710382513661201</v>
      </c>
    </row>
    <row r="326" spans="1:45" x14ac:dyDescent="0.25">
      <c r="A326" t="s">
        <v>725</v>
      </c>
      <c r="B326" t="s">
        <v>726</v>
      </c>
      <c r="C326" t="s">
        <v>113</v>
      </c>
      <c r="D326">
        <v>21.38</v>
      </c>
      <c r="E326" s="2">
        <f t="shared" si="52"/>
        <v>2219.8853999999997</v>
      </c>
      <c r="F326">
        <v>25.91</v>
      </c>
      <c r="G326" s="2">
        <f t="shared" si="53"/>
        <v>2690.2353000000003</v>
      </c>
      <c r="H326">
        <v>11.83</v>
      </c>
      <c r="I326" s="2">
        <f t="shared" si="54"/>
        <v>1228.3089</v>
      </c>
      <c r="J326">
        <v>14.44</v>
      </c>
      <c r="K326" s="2">
        <f t="shared" si="55"/>
        <v>1499.3051999999998</v>
      </c>
      <c r="L326">
        <v>23.59</v>
      </c>
      <c r="M326" s="2">
        <f t="shared" si="56"/>
        <v>2449.3497000000002</v>
      </c>
      <c r="N326">
        <v>1.43</v>
      </c>
      <c r="O326" s="2">
        <f t="shared" si="57"/>
        <v>148.4769</v>
      </c>
      <c r="P326">
        <v>1</v>
      </c>
      <c r="Q326" s="2">
        <f t="shared" si="58"/>
        <v>103.83</v>
      </c>
      <c r="R326">
        <v>0.44</v>
      </c>
      <c r="S326" s="3">
        <f t="shared" si="59"/>
        <v>45.685200000000002</v>
      </c>
      <c r="T326" t="s">
        <v>114</v>
      </c>
      <c r="U326" s="4">
        <f t="shared" si="60"/>
        <v>10385.0766</v>
      </c>
      <c r="V326" s="4">
        <f t="shared" si="61"/>
        <v>2.076600000000326</v>
      </c>
      <c r="W326">
        <v>10383</v>
      </c>
      <c r="X326">
        <v>5237</v>
      </c>
      <c r="Y326">
        <v>5146</v>
      </c>
      <c r="Z326">
        <v>234</v>
      </c>
      <c r="AA326">
        <v>1244</v>
      </c>
      <c r="AB326">
        <v>1925</v>
      </c>
      <c r="AC326">
        <v>1903</v>
      </c>
      <c r="AD326">
        <v>1562</v>
      </c>
      <c r="AE326">
        <v>1772</v>
      </c>
      <c r="AF326">
        <v>1174</v>
      </c>
      <c r="AG326">
        <v>471</v>
      </c>
      <c r="AH326">
        <v>98</v>
      </c>
      <c r="AI326" s="5">
        <v>50.438216315130497</v>
      </c>
      <c r="AJ326" s="5">
        <v>49.561783684869503</v>
      </c>
      <c r="AK326" s="5">
        <v>2.2536839063854401</v>
      </c>
      <c r="AL326" s="5">
        <v>11.981122989502101</v>
      </c>
      <c r="AM326" s="5">
        <v>18.539921024752001</v>
      </c>
      <c r="AN326" s="5">
        <v>18.328036213040502</v>
      </c>
      <c r="AO326" s="5">
        <v>15.043821631513</v>
      </c>
      <c r="AP326" s="5">
        <v>17.066358470576901</v>
      </c>
      <c r="AQ326" s="5">
        <v>11.306944043147499</v>
      </c>
      <c r="AR326" s="5">
        <v>4.5362611961860697</v>
      </c>
      <c r="AS326" s="5">
        <v>0.94385052489646504</v>
      </c>
    </row>
    <row r="327" spans="1:45" x14ac:dyDescent="0.25">
      <c r="A327" t="s">
        <v>727</v>
      </c>
      <c r="B327" t="s">
        <v>728</v>
      </c>
      <c r="C327" t="s">
        <v>233</v>
      </c>
      <c r="D327">
        <v>30.34</v>
      </c>
      <c r="E327" s="2">
        <f t="shared" si="52"/>
        <v>28080.276800000003</v>
      </c>
      <c r="F327">
        <v>21.18</v>
      </c>
      <c r="G327" s="2">
        <f t="shared" si="53"/>
        <v>19602.513599999998</v>
      </c>
      <c r="H327">
        <v>11.83</v>
      </c>
      <c r="I327" s="2">
        <f t="shared" si="54"/>
        <v>10948.901599999999</v>
      </c>
      <c r="J327">
        <v>13.23</v>
      </c>
      <c r="K327" s="2">
        <f t="shared" si="55"/>
        <v>12244.6296</v>
      </c>
      <c r="L327">
        <v>20.03</v>
      </c>
      <c r="M327" s="2">
        <f t="shared" si="56"/>
        <v>18538.1656</v>
      </c>
      <c r="N327">
        <v>1.43</v>
      </c>
      <c r="O327" s="2">
        <f t="shared" si="57"/>
        <v>1323.4935999999998</v>
      </c>
      <c r="P327">
        <v>1.1200000000000001</v>
      </c>
      <c r="Q327" s="2">
        <f t="shared" si="58"/>
        <v>1036.5824</v>
      </c>
      <c r="R327">
        <v>0.83</v>
      </c>
      <c r="S327" s="3">
        <f t="shared" si="59"/>
        <v>768.1816</v>
      </c>
      <c r="T327" t="s">
        <v>234</v>
      </c>
      <c r="U327" s="4">
        <f t="shared" si="60"/>
        <v>92542.7448</v>
      </c>
      <c r="V327" s="4">
        <f t="shared" si="61"/>
        <v>-9.2551999999996042</v>
      </c>
      <c r="W327">
        <v>92552</v>
      </c>
      <c r="X327">
        <v>46402</v>
      </c>
      <c r="Y327">
        <v>46150</v>
      </c>
      <c r="Z327">
        <v>2027</v>
      </c>
      <c r="AA327">
        <v>12342</v>
      </c>
      <c r="AB327">
        <v>21584</v>
      </c>
      <c r="AC327">
        <v>17639</v>
      </c>
      <c r="AD327">
        <v>15568</v>
      </c>
      <c r="AE327">
        <v>11757</v>
      </c>
      <c r="AF327">
        <v>7436</v>
      </c>
      <c r="AG327">
        <v>3430</v>
      </c>
      <c r="AH327">
        <v>769</v>
      </c>
      <c r="AI327" s="5">
        <v>50.136139683637303</v>
      </c>
      <c r="AJ327" s="5">
        <v>49.863860316362697</v>
      </c>
      <c r="AK327" s="5">
        <v>2.1901201486731798</v>
      </c>
      <c r="AL327" s="5">
        <v>13.335206154378101</v>
      </c>
      <c r="AM327" s="5">
        <v>23.320943901806601</v>
      </c>
      <c r="AN327" s="5">
        <v>19.058475235543298</v>
      </c>
      <c r="AO327" s="5">
        <v>16.820814244965</v>
      </c>
      <c r="AP327" s="5">
        <v>12.703129051776299</v>
      </c>
      <c r="AQ327" s="5">
        <v>8.0344022819604106</v>
      </c>
      <c r="AR327" s="5">
        <v>3.7060247212377901</v>
      </c>
      <c r="AS327" s="5">
        <v>0.83088425965943502</v>
      </c>
    </row>
    <row r="328" spans="1:45" x14ac:dyDescent="0.25">
      <c r="A328" t="s">
        <v>729</v>
      </c>
      <c r="B328" t="s">
        <v>730</v>
      </c>
      <c r="C328" t="s">
        <v>411</v>
      </c>
      <c r="D328">
        <v>25.87</v>
      </c>
      <c r="E328" s="2">
        <f t="shared" si="52"/>
        <v>794.9851000000001</v>
      </c>
      <c r="F328">
        <v>25.6</v>
      </c>
      <c r="G328" s="2">
        <f t="shared" si="53"/>
        <v>786.68799999999999</v>
      </c>
      <c r="H328">
        <v>11.77</v>
      </c>
      <c r="I328" s="2">
        <f t="shared" si="54"/>
        <v>361.69209999999998</v>
      </c>
      <c r="J328">
        <v>22.78</v>
      </c>
      <c r="K328" s="2">
        <f t="shared" si="55"/>
        <v>700.02940000000001</v>
      </c>
      <c r="L328">
        <v>11.28</v>
      </c>
      <c r="M328" s="2">
        <f t="shared" si="56"/>
        <v>346.63439999999997</v>
      </c>
      <c r="N328">
        <v>1.21</v>
      </c>
      <c r="O328" s="2">
        <f t="shared" si="57"/>
        <v>37.183300000000003</v>
      </c>
      <c r="P328">
        <v>1.1200000000000001</v>
      </c>
      <c r="Q328" s="2">
        <f t="shared" si="58"/>
        <v>34.4176</v>
      </c>
      <c r="R328">
        <v>0.36</v>
      </c>
      <c r="S328" s="3">
        <f t="shared" si="59"/>
        <v>11.062799999999999</v>
      </c>
      <c r="T328" t="s">
        <v>412</v>
      </c>
      <c r="U328" s="4">
        <f t="shared" si="60"/>
        <v>3072.6926999999996</v>
      </c>
      <c r="V328" s="4">
        <f t="shared" si="61"/>
        <v>-0.30730000000039581</v>
      </c>
      <c r="W328">
        <v>3073</v>
      </c>
      <c r="X328">
        <v>1449</v>
      </c>
      <c r="Y328">
        <v>1624</v>
      </c>
      <c r="Z328">
        <v>55</v>
      </c>
      <c r="AA328">
        <v>381</v>
      </c>
      <c r="AB328">
        <v>583</v>
      </c>
      <c r="AC328">
        <v>491</v>
      </c>
      <c r="AD328">
        <v>570</v>
      </c>
      <c r="AE328">
        <v>509</v>
      </c>
      <c r="AF328">
        <v>323</v>
      </c>
      <c r="AG328">
        <v>134</v>
      </c>
      <c r="AH328">
        <v>27</v>
      </c>
      <c r="AI328" s="5">
        <v>47.152619589977199</v>
      </c>
      <c r="AJ328" s="5">
        <v>52.847380410022801</v>
      </c>
      <c r="AK328" s="5">
        <v>1.78978197201432</v>
      </c>
      <c r="AL328" s="5">
        <v>12.3983078424992</v>
      </c>
      <c r="AM328" s="5">
        <v>18.971688903351801</v>
      </c>
      <c r="AN328" s="5">
        <v>15.9778717865278</v>
      </c>
      <c r="AO328" s="5">
        <v>18.548649528148399</v>
      </c>
      <c r="AP328" s="5">
        <v>16.563618613732501</v>
      </c>
      <c r="AQ328" s="5">
        <v>10.5109013992841</v>
      </c>
      <c r="AR328" s="5">
        <v>4.3605597136348804</v>
      </c>
      <c r="AS328" s="5">
        <v>0.87862024080702905</v>
      </c>
    </row>
    <row r="329" spans="1:45" x14ac:dyDescent="0.25">
      <c r="A329" t="s">
        <v>731</v>
      </c>
      <c r="B329" t="s">
        <v>732</v>
      </c>
      <c r="C329" t="s">
        <v>559</v>
      </c>
      <c r="D329">
        <v>17.89</v>
      </c>
      <c r="E329" s="2">
        <f t="shared" si="52"/>
        <v>116.285</v>
      </c>
      <c r="F329">
        <v>34.17</v>
      </c>
      <c r="G329" s="2">
        <f t="shared" si="53"/>
        <v>222.10499999999999</v>
      </c>
      <c r="H329">
        <v>11.7</v>
      </c>
      <c r="I329" s="2">
        <f t="shared" si="54"/>
        <v>76.05</v>
      </c>
      <c r="J329">
        <v>24.08</v>
      </c>
      <c r="K329" s="2">
        <f t="shared" si="55"/>
        <v>156.51999999999998</v>
      </c>
      <c r="L329">
        <v>9.4</v>
      </c>
      <c r="M329" s="2">
        <f t="shared" si="56"/>
        <v>61.1</v>
      </c>
      <c r="N329">
        <v>0.92</v>
      </c>
      <c r="O329" s="2">
        <f t="shared" si="57"/>
        <v>5.98</v>
      </c>
      <c r="P329">
        <v>1.38</v>
      </c>
      <c r="Q329" s="2">
        <f t="shared" si="58"/>
        <v>8.9699999999999989</v>
      </c>
      <c r="R329">
        <v>0.46</v>
      </c>
      <c r="S329" s="3">
        <f t="shared" si="59"/>
        <v>2.99</v>
      </c>
      <c r="T329" t="s">
        <v>560</v>
      </c>
      <c r="U329" s="4">
        <f t="shared" si="60"/>
        <v>649.99999999999989</v>
      </c>
      <c r="V329" s="4">
        <f t="shared" si="61"/>
        <v>0</v>
      </c>
      <c r="W329">
        <v>650</v>
      </c>
      <c r="X329">
        <v>213</v>
      </c>
      <c r="Y329">
        <v>437</v>
      </c>
      <c r="Z329">
        <v>4</v>
      </c>
      <c r="AA329">
        <v>40</v>
      </c>
      <c r="AB329">
        <v>101</v>
      </c>
      <c r="AC329">
        <v>133</v>
      </c>
      <c r="AD329">
        <v>180</v>
      </c>
      <c r="AE329">
        <v>117</v>
      </c>
      <c r="AF329">
        <v>52</v>
      </c>
      <c r="AG329">
        <v>22</v>
      </c>
      <c r="AH329">
        <v>1</v>
      </c>
      <c r="AI329" s="5">
        <v>32.769230769230802</v>
      </c>
      <c r="AJ329" s="5">
        <v>67.230769230769198</v>
      </c>
      <c r="AK329" s="5">
        <v>0.61538461538461497</v>
      </c>
      <c r="AL329" s="5">
        <v>6.1538461538461497</v>
      </c>
      <c r="AM329" s="5">
        <v>15.538461538461499</v>
      </c>
      <c r="AN329" s="5">
        <v>20.461538461538499</v>
      </c>
      <c r="AO329" s="5">
        <v>27.692307692307701</v>
      </c>
      <c r="AP329" s="5">
        <v>18</v>
      </c>
      <c r="AQ329" s="5">
        <v>8</v>
      </c>
      <c r="AR329" s="5">
        <v>3.3846153846153801</v>
      </c>
      <c r="AS329" s="5">
        <v>0.15384615384615399</v>
      </c>
    </row>
    <row r="330" spans="1:45" x14ac:dyDescent="0.25">
      <c r="A330" t="s">
        <v>733</v>
      </c>
      <c r="B330" t="s">
        <v>734</v>
      </c>
      <c r="C330" t="s">
        <v>113</v>
      </c>
      <c r="D330">
        <v>43.44</v>
      </c>
      <c r="E330" s="2">
        <f t="shared" si="52"/>
        <v>395.30400000000003</v>
      </c>
      <c r="F330">
        <v>16.64</v>
      </c>
      <c r="G330" s="2">
        <f t="shared" si="53"/>
        <v>151.42400000000001</v>
      </c>
      <c r="H330">
        <v>11.65</v>
      </c>
      <c r="I330" s="2">
        <f t="shared" si="54"/>
        <v>106.015</v>
      </c>
      <c r="J330">
        <v>16.82</v>
      </c>
      <c r="K330" s="2">
        <f t="shared" si="55"/>
        <v>153.06200000000001</v>
      </c>
      <c r="L330">
        <v>8.69</v>
      </c>
      <c r="M330" s="2">
        <f t="shared" si="56"/>
        <v>79.078999999999994</v>
      </c>
      <c r="N330">
        <v>0.55000000000000004</v>
      </c>
      <c r="O330" s="2">
        <f t="shared" si="57"/>
        <v>5.0050000000000008</v>
      </c>
      <c r="P330">
        <v>1.1100000000000001</v>
      </c>
      <c r="Q330" s="2">
        <f t="shared" si="58"/>
        <v>10.101000000000001</v>
      </c>
      <c r="R330">
        <v>1.1100000000000001</v>
      </c>
      <c r="S330" s="3">
        <f t="shared" si="59"/>
        <v>10.101000000000001</v>
      </c>
      <c r="T330" t="s">
        <v>114</v>
      </c>
      <c r="U330" s="4">
        <f t="shared" si="60"/>
        <v>910.09100000000012</v>
      </c>
      <c r="V330" s="4">
        <f t="shared" si="61"/>
        <v>9.1000000000121872E-2</v>
      </c>
      <c r="W330">
        <v>910</v>
      </c>
      <c r="X330">
        <v>436</v>
      </c>
      <c r="Y330">
        <v>474</v>
      </c>
      <c r="Z330">
        <v>25</v>
      </c>
      <c r="AA330">
        <v>100</v>
      </c>
      <c r="AB330">
        <v>229</v>
      </c>
      <c r="AC330">
        <v>198</v>
      </c>
      <c r="AD330">
        <v>124</v>
      </c>
      <c r="AE330">
        <v>128</v>
      </c>
      <c r="AF330">
        <v>71</v>
      </c>
      <c r="AG330">
        <v>31</v>
      </c>
      <c r="AH330">
        <v>4</v>
      </c>
      <c r="AI330" s="5">
        <v>47.912087912087898</v>
      </c>
      <c r="AJ330" s="5">
        <v>52.087912087912102</v>
      </c>
      <c r="AK330" s="5">
        <v>2.7472527472527499</v>
      </c>
      <c r="AL330" s="5">
        <v>10.989010989011</v>
      </c>
      <c r="AM330" s="5">
        <v>25.1648351648352</v>
      </c>
      <c r="AN330" s="5">
        <v>21.758241758241802</v>
      </c>
      <c r="AO330" s="5">
        <v>13.626373626373599</v>
      </c>
      <c r="AP330" s="5">
        <v>14.065934065934099</v>
      </c>
      <c r="AQ330" s="5">
        <v>7.8021978021978002</v>
      </c>
      <c r="AR330" s="5">
        <v>3.40659340659341</v>
      </c>
      <c r="AS330" s="5">
        <v>0.43956043956044</v>
      </c>
    </row>
    <row r="331" spans="1:45" x14ac:dyDescent="0.25">
      <c r="A331" t="s">
        <v>735</v>
      </c>
      <c r="B331" t="s">
        <v>736</v>
      </c>
      <c r="C331" t="s">
        <v>411</v>
      </c>
      <c r="D331">
        <v>35.450000000000003</v>
      </c>
      <c r="E331" s="2">
        <f t="shared" si="52"/>
        <v>2227.6780000000003</v>
      </c>
      <c r="F331">
        <v>21.5</v>
      </c>
      <c r="G331" s="2">
        <f t="shared" si="53"/>
        <v>1351.06</v>
      </c>
      <c r="H331">
        <v>11.54</v>
      </c>
      <c r="I331" s="2">
        <f t="shared" si="54"/>
        <v>725.17359999999996</v>
      </c>
      <c r="J331">
        <v>20.2</v>
      </c>
      <c r="K331" s="2">
        <f t="shared" si="55"/>
        <v>1269.3679999999999</v>
      </c>
      <c r="L331">
        <v>8.2899999999999991</v>
      </c>
      <c r="M331" s="2">
        <f t="shared" si="56"/>
        <v>520.94359999999995</v>
      </c>
      <c r="N331">
        <v>1.04</v>
      </c>
      <c r="O331" s="2">
        <f t="shared" si="57"/>
        <v>65.3536</v>
      </c>
      <c r="P331">
        <v>1.0900000000000001</v>
      </c>
      <c r="Q331" s="2">
        <f t="shared" si="58"/>
        <v>68.49560000000001</v>
      </c>
      <c r="R331">
        <v>0.89</v>
      </c>
      <c r="S331" s="3">
        <f t="shared" si="59"/>
        <v>55.927600000000005</v>
      </c>
      <c r="T331" t="s">
        <v>412</v>
      </c>
      <c r="U331" s="4">
        <f t="shared" si="60"/>
        <v>6284</v>
      </c>
      <c r="V331" s="4">
        <f t="shared" si="61"/>
        <v>0</v>
      </c>
      <c r="W331">
        <v>6284</v>
      </c>
      <c r="X331">
        <v>3068</v>
      </c>
      <c r="Y331">
        <v>3216</v>
      </c>
      <c r="Z331">
        <v>138</v>
      </c>
      <c r="AA331">
        <v>620</v>
      </c>
      <c r="AB331">
        <v>960</v>
      </c>
      <c r="AC331">
        <v>972</v>
      </c>
      <c r="AD331">
        <v>1105</v>
      </c>
      <c r="AE331">
        <v>1175</v>
      </c>
      <c r="AF331">
        <v>840</v>
      </c>
      <c r="AG331">
        <v>410</v>
      </c>
      <c r="AH331">
        <v>64</v>
      </c>
      <c r="AI331" s="5">
        <v>48.822406110757498</v>
      </c>
      <c r="AJ331" s="5">
        <v>51.177593889242502</v>
      </c>
      <c r="AK331" s="5">
        <v>2.1960534691279401</v>
      </c>
      <c r="AL331" s="5">
        <v>9.8663271801400398</v>
      </c>
      <c r="AM331" s="5">
        <v>15.276893698281301</v>
      </c>
      <c r="AN331" s="5">
        <v>15.4678548695099</v>
      </c>
      <c r="AO331" s="5">
        <v>17.5843411839593</v>
      </c>
      <c r="AP331" s="5">
        <v>18.698281349458899</v>
      </c>
      <c r="AQ331" s="5">
        <v>13.3672819859962</v>
      </c>
      <c r="AR331" s="5">
        <v>6.5245066836409897</v>
      </c>
      <c r="AS331" s="5">
        <v>1.0184595798854199</v>
      </c>
    </row>
    <row r="332" spans="1:45" x14ac:dyDescent="0.25">
      <c r="A332" t="s">
        <v>737</v>
      </c>
      <c r="B332" t="s">
        <v>738</v>
      </c>
      <c r="C332" t="s">
        <v>411</v>
      </c>
      <c r="D332">
        <v>28.29</v>
      </c>
      <c r="E332" s="2">
        <f t="shared" si="52"/>
        <v>979.11689999999999</v>
      </c>
      <c r="F332">
        <v>24.64</v>
      </c>
      <c r="G332" s="2">
        <f t="shared" si="53"/>
        <v>852.79040000000009</v>
      </c>
      <c r="H332">
        <v>11.44</v>
      </c>
      <c r="I332" s="2">
        <f t="shared" si="54"/>
        <v>395.93839999999994</v>
      </c>
      <c r="J332">
        <v>22.92</v>
      </c>
      <c r="K332" s="2">
        <f t="shared" si="55"/>
        <v>793.26120000000014</v>
      </c>
      <c r="L332">
        <v>10.210000000000001</v>
      </c>
      <c r="M332" s="2">
        <f t="shared" si="56"/>
        <v>353.36810000000003</v>
      </c>
      <c r="N332">
        <v>0.92</v>
      </c>
      <c r="O332" s="2">
        <f t="shared" si="57"/>
        <v>31.841200000000004</v>
      </c>
      <c r="P332">
        <v>1.06</v>
      </c>
      <c r="Q332" s="2">
        <f t="shared" si="58"/>
        <v>36.686600000000006</v>
      </c>
      <c r="R332">
        <v>0.53</v>
      </c>
      <c r="S332" s="3">
        <f t="shared" si="59"/>
        <v>18.343300000000003</v>
      </c>
      <c r="T332" t="s">
        <v>412</v>
      </c>
      <c r="U332" s="4">
        <f t="shared" si="60"/>
        <v>3461.3461000000002</v>
      </c>
      <c r="V332" s="4">
        <f t="shared" si="61"/>
        <v>0.34610000000020591</v>
      </c>
      <c r="W332">
        <v>3461</v>
      </c>
      <c r="X332">
        <v>1661</v>
      </c>
      <c r="Y332">
        <v>1800</v>
      </c>
      <c r="Z332">
        <v>100</v>
      </c>
      <c r="AA332">
        <v>508</v>
      </c>
      <c r="AB332">
        <v>719</v>
      </c>
      <c r="AC332">
        <v>656</v>
      </c>
      <c r="AD332">
        <v>573</v>
      </c>
      <c r="AE332">
        <v>461</v>
      </c>
      <c r="AF332">
        <v>279</v>
      </c>
      <c r="AG332">
        <v>147</v>
      </c>
      <c r="AH332">
        <v>18</v>
      </c>
      <c r="AI332" s="5">
        <v>47.991909852643701</v>
      </c>
      <c r="AJ332" s="5">
        <v>52.008090147356299</v>
      </c>
      <c r="AK332" s="5">
        <v>2.8893383415197902</v>
      </c>
      <c r="AL332" s="5">
        <v>14.677838774920501</v>
      </c>
      <c r="AM332" s="5">
        <v>20.774342675527301</v>
      </c>
      <c r="AN332" s="5">
        <v>18.9540595203698</v>
      </c>
      <c r="AO332" s="5">
        <v>16.5559086969084</v>
      </c>
      <c r="AP332" s="5">
        <v>13.319849754406199</v>
      </c>
      <c r="AQ332" s="5">
        <v>8.0612539728402197</v>
      </c>
      <c r="AR332" s="5">
        <v>4.2473273620340901</v>
      </c>
      <c r="AS332" s="5">
        <v>0.52008090147356301</v>
      </c>
    </row>
    <row r="333" spans="1:45" x14ac:dyDescent="0.25">
      <c r="A333" t="s">
        <v>739</v>
      </c>
      <c r="B333" t="s">
        <v>740</v>
      </c>
      <c r="C333" t="s">
        <v>233</v>
      </c>
      <c r="D333">
        <v>33.15</v>
      </c>
      <c r="E333" s="2">
        <f t="shared" si="52"/>
        <v>27402.121499999997</v>
      </c>
      <c r="F333">
        <v>21.21</v>
      </c>
      <c r="G333" s="2">
        <f t="shared" si="53"/>
        <v>17532.398100000002</v>
      </c>
      <c r="H333">
        <v>11.39</v>
      </c>
      <c r="I333" s="2">
        <f t="shared" si="54"/>
        <v>9415.0879000000004</v>
      </c>
      <c r="J333">
        <v>14.79</v>
      </c>
      <c r="K333" s="2">
        <f t="shared" si="55"/>
        <v>12225.561899999999</v>
      </c>
      <c r="L333">
        <v>15.82</v>
      </c>
      <c r="M333" s="2">
        <f t="shared" si="56"/>
        <v>13076.9702</v>
      </c>
      <c r="N333">
        <v>1.64</v>
      </c>
      <c r="O333" s="2">
        <f t="shared" si="57"/>
        <v>1355.6403999999998</v>
      </c>
      <c r="P333">
        <v>1.1599999999999999</v>
      </c>
      <c r="Q333" s="2">
        <f t="shared" si="58"/>
        <v>958.86759999999992</v>
      </c>
      <c r="R333">
        <v>0.85</v>
      </c>
      <c r="S333" s="3">
        <f t="shared" si="59"/>
        <v>702.61849999999993</v>
      </c>
      <c r="T333" t="s">
        <v>234</v>
      </c>
      <c r="U333" s="4">
        <f t="shared" si="60"/>
        <v>82669.266099999993</v>
      </c>
      <c r="V333" s="4">
        <f t="shared" si="61"/>
        <v>8.2660999999934575</v>
      </c>
      <c r="W333">
        <v>82661</v>
      </c>
      <c r="X333">
        <v>42799</v>
      </c>
      <c r="Y333">
        <v>39862</v>
      </c>
      <c r="Z333">
        <v>2150</v>
      </c>
      <c r="AA333">
        <v>11914</v>
      </c>
      <c r="AB333">
        <v>16255</v>
      </c>
      <c r="AC333">
        <v>13811</v>
      </c>
      <c r="AD333">
        <v>13218</v>
      </c>
      <c r="AE333">
        <v>12392</v>
      </c>
      <c r="AF333">
        <v>7820</v>
      </c>
      <c r="AG333">
        <v>4106</v>
      </c>
      <c r="AH333">
        <v>995</v>
      </c>
      <c r="AI333" s="5">
        <v>51.776533068799097</v>
      </c>
      <c r="AJ333" s="5">
        <v>48.223466931200903</v>
      </c>
      <c r="AK333" s="5">
        <v>2.6009847449220298</v>
      </c>
      <c r="AL333" s="5">
        <v>14.413084767907501</v>
      </c>
      <c r="AM333" s="5">
        <v>19.664654431957</v>
      </c>
      <c r="AN333" s="5">
        <v>16.708000145171201</v>
      </c>
      <c r="AO333" s="5">
        <v>15.9906122597114</v>
      </c>
      <c r="AP333" s="5">
        <v>14.991350213522701</v>
      </c>
      <c r="AQ333" s="5">
        <v>9.4603259094373406</v>
      </c>
      <c r="AR333" s="5">
        <v>4.9672759826278403</v>
      </c>
      <c r="AS333" s="5">
        <v>1.20371154474299</v>
      </c>
    </row>
    <row r="334" spans="1:45" x14ac:dyDescent="0.25">
      <c r="A334" t="s">
        <v>741</v>
      </c>
      <c r="B334" t="s">
        <v>742</v>
      </c>
      <c r="C334" t="s">
        <v>559</v>
      </c>
      <c r="D334">
        <v>25.87</v>
      </c>
      <c r="E334" s="2">
        <f t="shared" si="52"/>
        <v>160.39400000000001</v>
      </c>
      <c r="F334">
        <v>23.73</v>
      </c>
      <c r="G334" s="2">
        <f t="shared" si="53"/>
        <v>147.126</v>
      </c>
      <c r="H334">
        <v>10.67</v>
      </c>
      <c r="I334" s="2">
        <f t="shared" si="54"/>
        <v>66.153999999999996</v>
      </c>
      <c r="J334">
        <v>26.13</v>
      </c>
      <c r="K334" s="2">
        <f t="shared" si="55"/>
        <v>162.00599999999997</v>
      </c>
      <c r="L334">
        <v>9.8699999999999992</v>
      </c>
      <c r="M334" s="2">
        <f t="shared" si="56"/>
        <v>61.193999999999996</v>
      </c>
      <c r="N334">
        <v>0.53</v>
      </c>
      <c r="O334" s="2">
        <f t="shared" si="57"/>
        <v>3.286</v>
      </c>
      <c r="P334">
        <v>2.67</v>
      </c>
      <c r="Q334" s="2">
        <f t="shared" si="58"/>
        <v>16.553999999999998</v>
      </c>
      <c r="R334">
        <v>0.53</v>
      </c>
      <c r="S334" s="3">
        <f t="shared" si="59"/>
        <v>3.286</v>
      </c>
      <c r="T334" t="s">
        <v>560</v>
      </c>
      <c r="U334" s="4">
        <f t="shared" si="60"/>
        <v>620</v>
      </c>
      <c r="V334" s="4">
        <f t="shared" si="61"/>
        <v>0</v>
      </c>
      <c r="W334">
        <v>620</v>
      </c>
      <c r="X334">
        <v>223</v>
      </c>
      <c r="Y334">
        <v>397</v>
      </c>
      <c r="Z334">
        <v>9</v>
      </c>
      <c r="AA334">
        <v>73</v>
      </c>
      <c r="AB334">
        <v>121</v>
      </c>
      <c r="AC334">
        <v>130</v>
      </c>
      <c r="AD334">
        <v>117</v>
      </c>
      <c r="AE334">
        <v>101</v>
      </c>
      <c r="AF334">
        <v>46</v>
      </c>
      <c r="AG334">
        <v>19</v>
      </c>
      <c r="AH334">
        <v>4</v>
      </c>
      <c r="AI334" s="5">
        <v>35.9677419354839</v>
      </c>
      <c r="AJ334" s="5">
        <v>64.0322580645161</v>
      </c>
      <c r="AK334" s="5">
        <v>1.45161290322581</v>
      </c>
      <c r="AL334" s="5">
        <v>11.7741935483871</v>
      </c>
      <c r="AM334" s="5">
        <v>19.5161290322581</v>
      </c>
      <c r="AN334" s="5">
        <v>20.9677419354839</v>
      </c>
      <c r="AO334" s="5">
        <v>18.870967741935502</v>
      </c>
      <c r="AP334" s="5">
        <v>16.290322580645199</v>
      </c>
      <c r="AQ334" s="5">
        <v>7.4193548387096797</v>
      </c>
      <c r="AR334" s="5">
        <v>3.0645161290322598</v>
      </c>
      <c r="AS334" s="5">
        <v>0.64516129032258096</v>
      </c>
    </row>
    <row r="335" spans="1:45" x14ac:dyDescent="0.25">
      <c r="A335" t="s">
        <v>743</v>
      </c>
      <c r="B335" t="s">
        <v>744</v>
      </c>
      <c r="C335" t="s">
        <v>93</v>
      </c>
      <c r="D335">
        <v>22.02</v>
      </c>
      <c r="E335" s="2">
        <f t="shared" si="52"/>
        <v>876.17579999999998</v>
      </c>
      <c r="F335">
        <v>24.52</v>
      </c>
      <c r="G335" s="2">
        <f t="shared" si="53"/>
        <v>975.6508</v>
      </c>
      <c r="H335">
        <v>10.06</v>
      </c>
      <c r="I335" s="2">
        <f t="shared" si="54"/>
        <v>400.28740000000005</v>
      </c>
      <c r="J335">
        <v>31.11</v>
      </c>
      <c r="K335" s="2">
        <f t="shared" si="55"/>
        <v>1237.8669</v>
      </c>
      <c r="L335">
        <v>9.41</v>
      </c>
      <c r="M335" s="2">
        <f t="shared" si="56"/>
        <v>374.4239</v>
      </c>
      <c r="N335">
        <v>0.97</v>
      </c>
      <c r="O335" s="2">
        <f t="shared" si="57"/>
        <v>38.596299999999999</v>
      </c>
      <c r="P335">
        <v>1.07</v>
      </c>
      <c r="Q335" s="2">
        <f t="shared" si="58"/>
        <v>42.575300000000006</v>
      </c>
      <c r="R335">
        <v>0.83</v>
      </c>
      <c r="S335" s="3">
        <f t="shared" si="59"/>
        <v>33.025700000000001</v>
      </c>
      <c r="T335" t="s">
        <v>94</v>
      </c>
      <c r="U335" s="4">
        <f t="shared" si="60"/>
        <v>3978.6021000000001</v>
      </c>
      <c r="V335" s="4">
        <f t="shared" si="61"/>
        <v>-0.39789999999993597</v>
      </c>
      <c r="W335">
        <v>3979</v>
      </c>
      <c r="X335">
        <v>2000</v>
      </c>
      <c r="Y335">
        <v>1979</v>
      </c>
      <c r="Z335">
        <v>65</v>
      </c>
      <c r="AA335">
        <v>390</v>
      </c>
      <c r="AB335">
        <v>606</v>
      </c>
      <c r="AC335">
        <v>589</v>
      </c>
      <c r="AD335">
        <v>727</v>
      </c>
      <c r="AE335">
        <v>742</v>
      </c>
      <c r="AF335">
        <v>535</v>
      </c>
      <c r="AG335">
        <v>294</v>
      </c>
      <c r="AH335">
        <v>31</v>
      </c>
      <c r="AI335" s="5">
        <v>50.263885398341301</v>
      </c>
      <c r="AJ335" s="5">
        <v>49.736114601658699</v>
      </c>
      <c r="AK335" s="5">
        <v>1.6335762754460901</v>
      </c>
      <c r="AL335" s="5">
        <v>9.8014576526765502</v>
      </c>
      <c r="AM335" s="5">
        <v>15.2299572756974</v>
      </c>
      <c r="AN335" s="5">
        <v>14.802714249811499</v>
      </c>
      <c r="AO335" s="5">
        <v>18.270922342297101</v>
      </c>
      <c r="AP335" s="5">
        <v>18.647901482784601</v>
      </c>
      <c r="AQ335" s="5">
        <v>13.4455893440563</v>
      </c>
      <c r="AR335" s="5">
        <v>7.3887911535561699</v>
      </c>
      <c r="AS335" s="5">
        <v>0.77909022367429004</v>
      </c>
    </row>
    <row r="336" spans="1:45" x14ac:dyDescent="0.25">
      <c r="A336" t="s">
        <v>745</v>
      </c>
      <c r="B336" t="s">
        <v>746</v>
      </c>
      <c r="C336" t="s">
        <v>233</v>
      </c>
      <c r="D336">
        <v>35.450000000000003</v>
      </c>
      <c r="E336" s="2">
        <f t="shared" si="52"/>
        <v>36194.804499999998</v>
      </c>
      <c r="F336">
        <v>18.66</v>
      </c>
      <c r="G336" s="2">
        <f t="shared" si="53"/>
        <v>19052.046599999998</v>
      </c>
      <c r="H336">
        <v>10.039999999999999</v>
      </c>
      <c r="I336" s="2">
        <f t="shared" si="54"/>
        <v>10250.940399999999</v>
      </c>
      <c r="J336">
        <v>13.09</v>
      </c>
      <c r="K336" s="2">
        <f t="shared" si="55"/>
        <v>13365.020900000001</v>
      </c>
      <c r="L336">
        <v>18.64</v>
      </c>
      <c r="M336" s="2">
        <f t="shared" si="56"/>
        <v>19031.626400000001</v>
      </c>
      <c r="N336">
        <v>2</v>
      </c>
      <c r="O336" s="2">
        <f t="shared" si="57"/>
        <v>2042.02</v>
      </c>
      <c r="P336">
        <v>1.26</v>
      </c>
      <c r="Q336" s="2">
        <f t="shared" si="58"/>
        <v>1286.4726000000001</v>
      </c>
      <c r="R336">
        <v>0.86</v>
      </c>
      <c r="S336" s="3">
        <f t="shared" si="59"/>
        <v>878.06860000000006</v>
      </c>
      <c r="T336" t="s">
        <v>234</v>
      </c>
      <c r="U336" s="4">
        <f t="shared" si="60"/>
        <v>102101</v>
      </c>
      <c r="V336" s="4">
        <f t="shared" si="61"/>
        <v>0</v>
      </c>
      <c r="W336">
        <v>102101</v>
      </c>
      <c r="X336">
        <v>53377</v>
      </c>
      <c r="Y336">
        <v>48724</v>
      </c>
      <c r="Z336">
        <v>2623</v>
      </c>
      <c r="AA336">
        <v>14876</v>
      </c>
      <c r="AB336">
        <v>21230</v>
      </c>
      <c r="AC336">
        <v>17270</v>
      </c>
      <c r="AD336">
        <v>15921</v>
      </c>
      <c r="AE336">
        <v>14704</v>
      </c>
      <c r="AF336">
        <v>9275</v>
      </c>
      <c r="AG336">
        <v>5033</v>
      </c>
      <c r="AH336">
        <v>1169</v>
      </c>
      <c r="AI336" s="5">
        <v>52.278626066346099</v>
      </c>
      <c r="AJ336" s="5">
        <v>47.721373933653901</v>
      </c>
      <c r="AK336" s="5">
        <v>2.5690247891793399</v>
      </c>
      <c r="AL336" s="5">
        <v>14.5698866808356</v>
      </c>
      <c r="AM336" s="5">
        <v>20.7931362082644</v>
      </c>
      <c r="AN336" s="5">
        <v>16.9146237549094</v>
      </c>
      <c r="AO336" s="5">
        <v>15.5933830226932</v>
      </c>
      <c r="AP336" s="5">
        <v>14.4014260389222</v>
      </c>
      <c r="AQ336" s="5">
        <v>9.0841421729464003</v>
      </c>
      <c r="AR336" s="5">
        <v>4.92943262064035</v>
      </c>
      <c r="AS336" s="5">
        <v>1.1449447116090901</v>
      </c>
    </row>
    <row r="337" spans="1:45" x14ac:dyDescent="0.25">
      <c r="A337" t="s">
        <v>747</v>
      </c>
      <c r="B337" t="s">
        <v>748</v>
      </c>
      <c r="C337" t="s">
        <v>93</v>
      </c>
      <c r="D337">
        <v>25.11</v>
      </c>
      <c r="E337" s="2">
        <f t="shared" si="52"/>
        <v>564.47280000000001</v>
      </c>
      <c r="F337">
        <v>24.04</v>
      </c>
      <c r="G337" s="2">
        <f t="shared" si="53"/>
        <v>540.41919999999993</v>
      </c>
      <c r="H337">
        <v>10.029999999999999</v>
      </c>
      <c r="I337" s="2">
        <f t="shared" si="54"/>
        <v>225.47439999999997</v>
      </c>
      <c r="J337">
        <v>27.03</v>
      </c>
      <c r="K337" s="2">
        <f t="shared" si="55"/>
        <v>607.63440000000003</v>
      </c>
      <c r="L337">
        <v>10.81</v>
      </c>
      <c r="M337" s="2">
        <f t="shared" si="56"/>
        <v>243.00880000000001</v>
      </c>
      <c r="N337">
        <v>1.07</v>
      </c>
      <c r="O337" s="2">
        <f t="shared" si="57"/>
        <v>24.053600000000003</v>
      </c>
      <c r="P337">
        <v>1.49</v>
      </c>
      <c r="Q337" s="2">
        <f t="shared" si="58"/>
        <v>33.495199999999997</v>
      </c>
      <c r="R337">
        <v>0.43</v>
      </c>
      <c r="S337" s="3">
        <f t="shared" si="59"/>
        <v>9.6663999999999994</v>
      </c>
      <c r="T337" t="s">
        <v>94</v>
      </c>
      <c r="U337" s="4">
        <f t="shared" si="60"/>
        <v>2248.2248</v>
      </c>
      <c r="V337" s="4">
        <f t="shared" si="61"/>
        <v>0.22479999999995925</v>
      </c>
      <c r="W337">
        <v>2248</v>
      </c>
      <c r="X337">
        <v>1078</v>
      </c>
      <c r="Y337">
        <v>1170</v>
      </c>
      <c r="Z337">
        <v>54</v>
      </c>
      <c r="AA337">
        <v>281</v>
      </c>
      <c r="AB337">
        <v>360</v>
      </c>
      <c r="AC337">
        <v>319</v>
      </c>
      <c r="AD337">
        <v>416</v>
      </c>
      <c r="AE337">
        <v>405</v>
      </c>
      <c r="AF337">
        <v>273</v>
      </c>
      <c r="AG337">
        <v>112</v>
      </c>
      <c r="AH337">
        <v>28</v>
      </c>
      <c r="AI337" s="5">
        <v>47.953736654804302</v>
      </c>
      <c r="AJ337" s="5">
        <v>52.046263345195698</v>
      </c>
      <c r="AK337" s="5">
        <v>2.4021352313167301</v>
      </c>
      <c r="AL337" s="5">
        <v>12.5</v>
      </c>
      <c r="AM337" s="5">
        <v>16.014234875444799</v>
      </c>
      <c r="AN337" s="5">
        <v>14.1903914590747</v>
      </c>
      <c r="AO337" s="5">
        <v>18.5053380782918</v>
      </c>
      <c r="AP337" s="5">
        <v>18.016014234875399</v>
      </c>
      <c r="AQ337" s="5">
        <v>12.144128113879001</v>
      </c>
      <c r="AR337" s="5">
        <v>4.9822064056939501</v>
      </c>
      <c r="AS337" s="5">
        <v>1.24555160142349</v>
      </c>
    </row>
    <row r="338" spans="1:45" x14ac:dyDescent="0.25">
      <c r="A338" t="s">
        <v>749</v>
      </c>
      <c r="B338" t="s">
        <v>750</v>
      </c>
      <c r="C338" t="s">
        <v>559</v>
      </c>
      <c r="D338">
        <v>14.66</v>
      </c>
      <c r="E338" s="2">
        <f t="shared" si="52"/>
        <v>107.31120000000001</v>
      </c>
      <c r="F338">
        <v>40.090000000000003</v>
      </c>
      <c r="G338" s="2">
        <f t="shared" si="53"/>
        <v>293.4588</v>
      </c>
      <c r="H338">
        <v>9.48</v>
      </c>
      <c r="I338" s="2">
        <f t="shared" si="54"/>
        <v>69.393600000000006</v>
      </c>
      <c r="J338">
        <v>20.260000000000002</v>
      </c>
      <c r="K338" s="2">
        <f t="shared" si="55"/>
        <v>148.3032</v>
      </c>
      <c r="L338">
        <v>11.21</v>
      </c>
      <c r="M338" s="2">
        <f t="shared" si="56"/>
        <v>82.057200000000009</v>
      </c>
      <c r="N338">
        <v>0.86</v>
      </c>
      <c r="O338" s="2">
        <f t="shared" si="57"/>
        <v>6.2951999999999995</v>
      </c>
      <c r="P338">
        <v>2.59</v>
      </c>
      <c r="Q338" s="2">
        <f t="shared" si="58"/>
        <v>18.9588</v>
      </c>
      <c r="R338">
        <v>0.86</v>
      </c>
      <c r="S338" s="3">
        <f t="shared" si="59"/>
        <v>6.2951999999999995</v>
      </c>
      <c r="T338" t="s">
        <v>560</v>
      </c>
      <c r="U338" s="4">
        <f t="shared" si="60"/>
        <v>732.07319999999993</v>
      </c>
      <c r="V338" s="4">
        <f t="shared" si="61"/>
        <v>7.3199999999928878E-2</v>
      </c>
      <c r="W338">
        <v>732</v>
      </c>
      <c r="X338">
        <v>232</v>
      </c>
      <c r="Y338">
        <v>500</v>
      </c>
      <c r="Z338">
        <v>4</v>
      </c>
      <c r="AA338">
        <v>90</v>
      </c>
      <c r="AB338">
        <v>131</v>
      </c>
      <c r="AC338">
        <v>170</v>
      </c>
      <c r="AD338">
        <v>167</v>
      </c>
      <c r="AE338">
        <v>116</v>
      </c>
      <c r="AF338">
        <v>39</v>
      </c>
      <c r="AG338">
        <v>13</v>
      </c>
      <c r="AH338">
        <v>2</v>
      </c>
      <c r="AI338" s="5">
        <v>31.693989071038299</v>
      </c>
      <c r="AJ338" s="5">
        <v>68.306010928961697</v>
      </c>
      <c r="AK338" s="5">
        <v>0.54644808743169404</v>
      </c>
      <c r="AL338" s="5">
        <v>12.2950819672131</v>
      </c>
      <c r="AM338" s="5">
        <v>17.896174863388001</v>
      </c>
      <c r="AN338" s="5">
        <v>23.224043715846999</v>
      </c>
      <c r="AO338" s="5">
        <v>22.8142076502732</v>
      </c>
      <c r="AP338" s="5">
        <v>15.8469945355191</v>
      </c>
      <c r="AQ338" s="5">
        <v>5.3278688524590203</v>
      </c>
      <c r="AR338" s="5">
        <v>1.7759562841530101</v>
      </c>
      <c r="AS338" s="5">
        <v>0.27322404371584702</v>
      </c>
    </row>
    <row r="339" spans="1:45" x14ac:dyDescent="0.25">
      <c r="A339" t="s">
        <v>751</v>
      </c>
      <c r="B339" t="s">
        <v>752</v>
      </c>
      <c r="C339" t="s">
        <v>411</v>
      </c>
      <c r="D339">
        <v>24.94</v>
      </c>
      <c r="E339" s="2">
        <f t="shared" si="52"/>
        <v>198.02360000000002</v>
      </c>
      <c r="F339">
        <v>31.97</v>
      </c>
      <c r="G339" s="2">
        <f t="shared" si="53"/>
        <v>253.84180000000001</v>
      </c>
      <c r="H339">
        <v>8.39</v>
      </c>
      <c r="I339" s="2">
        <f t="shared" si="54"/>
        <v>66.616600000000005</v>
      </c>
      <c r="J339">
        <v>23.58</v>
      </c>
      <c r="K339" s="2">
        <f t="shared" si="55"/>
        <v>187.2252</v>
      </c>
      <c r="L339">
        <v>8.39</v>
      </c>
      <c r="M339" s="2">
        <f t="shared" si="56"/>
        <v>66.616600000000005</v>
      </c>
      <c r="N339">
        <v>0.91</v>
      </c>
      <c r="O339" s="2">
        <f t="shared" si="57"/>
        <v>7.2254000000000005</v>
      </c>
      <c r="P339">
        <v>1.59</v>
      </c>
      <c r="Q339" s="2">
        <f t="shared" si="58"/>
        <v>12.624600000000001</v>
      </c>
      <c r="R339">
        <v>0.23</v>
      </c>
      <c r="S339" s="3">
        <f t="shared" si="59"/>
        <v>1.8262</v>
      </c>
      <c r="T339" t="s">
        <v>412</v>
      </c>
      <c r="U339" s="4">
        <f t="shared" si="60"/>
        <v>794</v>
      </c>
      <c r="V339" s="4">
        <f t="shared" si="61"/>
        <v>0</v>
      </c>
      <c r="W339">
        <v>794</v>
      </c>
      <c r="X339">
        <v>323</v>
      </c>
      <c r="Y339">
        <v>471</v>
      </c>
      <c r="Z339">
        <v>20</v>
      </c>
      <c r="AA339">
        <v>124</v>
      </c>
      <c r="AB339">
        <v>230</v>
      </c>
      <c r="AC339">
        <v>161</v>
      </c>
      <c r="AD339">
        <v>129</v>
      </c>
      <c r="AE339">
        <v>83</v>
      </c>
      <c r="AF339">
        <v>37</v>
      </c>
      <c r="AG339">
        <v>8</v>
      </c>
      <c r="AH339">
        <v>2</v>
      </c>
      <c r="AI339" s="5">
        <v>40.680100755667503</v>
      </c>
      <c r="AJ339" s="5">
        <v>59.319899244332497</v>
      </c>
      <c r="AK339" s="5">
        <v>2.5188916876574301</v>
      </c>
      <c r="AL339" s="5">
        <v>15.617128463476099</v>
      </c>
      <c r="AM339" s="5">
        <v>28.967254408060501</v>
      </c>
      <c r="AN339" s="5">
        <v>20.277078085642302</v>
      </c>
      <c r="AO339" s="5">
        <v>16.2468513853904</v>
      </c>
      <c r="AP339" s="5">
        <v>10.453400503778299</v>
      </c>
      <c r="AQ339" s="5">
        <v>4.6599496221662502</v>
      </c>
      <c r="AR339" s="5">
        <v>1.0075566750629701</v>
      </c>
      <c r="AS339" s="5">
        <v>0.25188916876574302</v>
      </c>
    </row>
    <row r="340" spans="1:45" x14ac:dyDescent="0.25">
      <c r="A340" t="s">
        <v>753</v>
      </c>
      <c r="B340" t="s">
        <v>754</v>
      </c>
      <c r="C340" t="s">
        <v>233</v>
      </c>
      <c r="D340">
        <v>33.85</v>
      </c>
      <c r="E340" s="2">
        <f t="shared" si="52"/>
        <v>40411.145500000006</v>
      </c>
      <c r="F340">
        <v>19.77</v>
      </c>
      <c r="G340" s="2">
        <f t="shared" si="53"/>
        <v>23602.019100000001</v>
      </c>
      <c r="H340">
        <v>7.68</v>
      </c>
      <c r="I340" s="2">
        <f t="shared" si="54"/>
        <v>9168.6143999999986</v>
      </c>
      <c r="J340">
        <v>12.96</v>
      </c>
      <c r="K340" s="2">
        <f t="shared" si="55"/>
        <v>15472.036800000002</v>
      </c>
      <c r="L340">
        <v>22.11</v>
      </c>
      <c r="M340" s="2">
        <f t="shared" si="56"/>
        <v>26395.581299999998</v>
      </c>
      <c r="N340">
        <v>1.72</v>
      </c>
      <c r="O340" s="2">
        <f t="shared" si="57"/>
        <v>2053.3876</v>
      </c>
      <c r="P340">
        <v>1.01</v>
      </c>
      <c r="Q340" s="2">
        <f t="shared" si="58"/>
        <v>1205.7683</v>
      </c>
      <c r="R340">
        <v>0.89</v>
      </c>
      <c r="S340" s="3">
        <f t="shared" si="59"/>
        <v>1062.5086999999999</v>
      </c>
      <c r="T340" t="s">
        <v>234</v>
      </c>
      <c r="U340" s="4">
        <f t="shared" si="60"/>
        <v>119371.06169999999</v>
      </c>
      <c r="V340" s="4">
        <f t="shared" si="61"/>
        <v>-11.938300000008894</v>
      </c>
      <c r="W340">
        <v>119383</v>
      </c>
      <c r="X340">
        <v>62340</v>
      </c>
      <c r="Y340">
        <v>57043</v>
      </c>
      <c r="Z340">
        <v>2459</v>
      </c>
      <c r="AA340">
        <v>15449</v>
      </c>
      <c r="AB340">
        <v>27515</v>
      </c>
      <c r="AC340">
        <v>21941</v>
      </c>
      <c r="AD340">
        <v>19996</v>
      </c>
      <c r="AE340">
        <v>16325</v>
      </c>
      <c r="AF340">
        <v>9693</v>
      </c>
      <c r="AG340">
        <v>4853</v>
      </c>
      <c r="AH340">
        <v>1152</v>
      </c>
      <c r="AI340" s="5">
        <v>52.218490069775399</v>
      </c>
      <c r="AJ340" s="5">
        <v>47.781509930224601</v>
      </c>
      <c r="AK340" s="5">
        <v>2.05975725187003</v>
      </c>
      <c r="AL340" s="5">
        <v>12.940703450239999</v>
      </c>
      <c r="AM340" s="5">
        <v>23.047670103783599</v>
      </c>
      <c r="AN340" s="5">
        <v>18.378663628824899</v>
      </c>
      <c r="AO340" s="5">
        <v>16.7494534397695</v>
      </c>
      <c r="AP340" s="5">
        <v>13.6744762654649</v>
      </c>
      <c r="AQ340" s="5">
        <v>8.1192464588760505</v>
      </c>
      <c r="AR340" s="5">
        <v>4.0650678907382103</v>
      </c>
      <c r="AS340" s="5">
        <v>0.96496151043280898</v>
      </c>
    </row>
    <row r="341" spans="1:45" x14ac:dyDescent="0.25">
      <c r="A341" t="s">
        <v>755</v>
      </c>
      <c r="B341" t="s">
        <v>756</v>
      </c>
      <c r="C341" t="s">
        <v>233</v>
      </c>
      <c r="D341">
        <v>32.71</v>
      </c>
      <c r="E341" s="2">
        <f t="shared" si="52"/>
        <v>126579.19540000001</v>
      </c>
      <c r="F341">
        <v>20.73</v>
      </c>
      <c r="G341" s="2">
        <f t="shared" si="53"/>
        <v>80219.710200000001</v>
      </c>
      <c r="H341">
        <v>7.2</v>
      </c>
      <c r="I341" s="2">
        <f t="shared" si="54"/>
        <v>27862.128000000004</v>
      </c>
      <c r="J341">
        <v>12.8</v>
      </c>
      <c r="K341" s="2">
        <f t="shared" si="55"/>
        <v>49532.671999999999</v>
      </c>
      <c r="L341">
        <v>23.12</v>
      </c>
      <c r="M341" s="2">
        <f t="shared" si="56"/>
        <v>89468.388800000015</v>
      </c>
      <c r="N341">
        <v>1.47</v>
      </c>
      <c r="O341" s="2">
        <f t="shared" si="57"/>
        <v>5688.5178000000005</v>
      </c>
      <c r="P341">
        <v>0.89</v>
      </c>
      <c r="Q341" s="2">
        <f t="shared" si="58"/>
        <v>3444.0686000000001</v>
      </c>
      <c r="R341">
        <v>1.08</v>
      </c>
      <c r="S341" s="3">
        <f t="shared" si="59"/>
        <v>4179.3192000000008</v>
      </c>
      <c r="T341" t="s">
        <v>234</v>
      </c>
      <c r="U341" s="4">
        <f t="shared" si="60"/>
        <v>386974</v>
      </c>
      <c r="V341" s="4">
        <f t="shared" si="61"/>
        <v>0</v>
      </c>
      <c r="W341">
        <v>386974</v>
      </c>
      <c r="X341">
        <v>190157</v>
      </c>
      <c r="Y341">
        <v>196817</v>
      </c>
      <c r="Z341">
        <v>6743</v>
      </c>
      <c r="AA341">
        <v>53988</v>
      </c>
      <c r="AB341">
        <v>103289</v>
      </c>
      <c r="AC341">
        <v>82040</v>
      </c>
      <c r="AD341">
        <v>57332</v>
      </c>
      <c r="AE341">
        <v>43010</v>
      </c>
      <c r="AF341">
        <v>25267</v>
      </c>
      <c r="AG341">
        <v>12777</v>
      </c>
      <c r="AH341">
        <v>2528</v>
      </c>
      <c r="AI341" s="5">
        <v>49.139477070810997</v>
      </c>
      <c r="AJ341" s="5">
        <v>50.860522929189003</v>
      </c>
      <c r="AK341" s="5">
        <v>1.7424943277842999</v>
      </c>
      <c r="AL341" s="5">
        <v>13.951324895212601</v>
      </c>
      <c r="AM341" s="5">
        <v>26.691457307209301</v>
      </c>
      <c r="AN341" s="5">
        <v>21.200390723924599</v>
      </c>
      <c r="AO341" s="5">
        <v>14.815465638518299</v>
      </c>
      <c r="AP341" s="5">
        <v>11.1144417971233</v>
      </c>
      <c r="AQ341" s="5">
        <v>6.5293792347806301</v>
      </c>
      <c r="AR341" s="5">
        <v>3.3017722120866</v>
      </c>
      <c r="AS341" s="5">
        <v>0.653273863360329</v>
      </c>
    </row>
    <row r="342" spans="1:45" x14ac:dyDescent="0.25">
      <c r="A342" t="s">
        <v>757</v>
      </c>
      <c r="B342" t="s">
        <v>758</v>
      </c>
      <c r="C342" t="s">
        <v>233</v>
      </c>
      <c r="D342">
        <v>9.84</v>
      </c>
      <c r="E342" s="2">
        <f t="shared" si="52"/>
        <v>9072.0864000000001</v>
      </c>
      <c r="F342">
        <v>41.03</v>
      </c>
      <c r="G342" s="2">
        <f t="shared" si="53"/>
        <v>37828.018799999998</v>
      </c>
      <c r="H342">
        <v>5.19</v>
      </c>
      <c r="I342" s="2">
        <f t="shared" si="54"/>
        <v>4784.9724000000006</v>
      </c>
      <c r="J342">
        <v>11.46</v>
      </c>
      <c r="K342" s="2">
        <f t="shared" si="55"/>
        <v>10565.661600000001</v>
      </c>
      <c r="L342">
        <v>30.89</v>
      </c>
      <c r="M342" s="2">
        <f t="shared" si="56"/>
        <v>28479.344399999998</v>
      </c>
      <c r="N342">
        <v>0.82</v>
      </c>
      <c r="O342" s="2">
        <f t="shared" si="57"/>
        <v>756.00720000000001</v>
      </c>
      <c r="P342">
        <v>0.43</v>
      </c>
      <c r="Q342" s="2">
        <f t="shared" si="58"/>
        <v>396.44279999999998</v>
      </c>
      <c r="R342">
        <v>0.32</v>
      </c>
      <c r="S342" s="3">
        <f t="shared" si="59"/>
        <v>295.02719999999999</v>
      </c>
      <c r="T342" t="s">
        <v>234</v>
      </c>
      <c r="U342" s="4">
        <f t="shared" si="60"/>
        <v>92177.560800000007</v>
      </c>
      <c r="V342" s="4">
        <f t="shared" si="61"/>
        <v>-18.439199999993434</v>
      </c>
      <c r="W342">
        <v>92196</v>
      </c>
      <c r="X342">
        <v>48972</v>
      </c>
      <c r="Y342">
        <v>43224</v>
      </c>
      <c r="Z342">
        <v>3697</v>
      </c>
      <c r="AA342">
        <v>19358</v>
      </c>
      <c r="AB342">
        <v>15817</v>
      </c>
      <c r="AC342">
        <v>15924</v>
      </c>
      <c r="AD342">
        <v>15854</v>
      </c>
      <c r="AE342">
        <v>12332</v>
      </c>
      <c r="AF342">
        <v>6325</v>
      </c>
      <c r="AG342">
        <v>2406</v>
      </c>
      <c r="AH342">
        <v>483</v>
      </c>
      <c r="AI342" s="5">
        <v>53.117271898997799</v>
      </c>
      <c r="AJ342" s="5">
        <v>46.882728101002201</v>
      </c>
      <c r="AK342" s="5">
        <v>4.0099353551130203</v>
      </c>
      <c r="AL342" s="5">
        <v>20.996572519415199</v>
      </c>
      <c r="AM342" s="5">
        <v>17.155841902034801</v>
      </c>
      <c r="AN342" s="5">
        <v>17.2718989977873</v>
      </c>
      <c r="AO342" s="5">
        <v>17.195973794958601</v>
      </c>
      <c r="AP342" s="5">
        <v>13.3758514469174</v>
      </c>
      <c r="AQ342" s="5">
        <v>6.8603843984554604</v>
      </c>
      <c r="AR342" s="5">
        <v>2.6096576857998199</v>
      </c>
      <c r="AS342" s="5">
        <v>0.52388389951841696</v>
      </c>
    </row>
    <row r="343" spans="1:45" x14ac:dyDescent="0.25">
      <c r="A343" t="s">
        <v>759</v>
      </c>
      <c r="B343" t="s">
        <v>760</v>
      </c>
      <c r="C343" t="s">
        <v>233</v>
      </c>
      <c r="D343">
        <v>27.54</v>
      </c>
      <c r="E343" s="2">
        <f t="shared" si="52"/>
        <v>24570.912599999996</v>
      </c>
      <c r="F343">
        <v>22.34</v>
      </c>
      <c r="G343" s="2">
        <f t="shared" si="53"/>
        <v>19931.524600000001</v>
      </c>
      <c r="H343">
        <v>4.66</v>
      </c>
      <c r="I343" s="2">
        <f t="shared" si="54"/>
        <v>4157.6054000000004</v>
      </c>
      <c r="J343">
        <v>12.69</v>
      </c>
      <c r="K343" s="2">
        <f t="shared" si="55"/>
        <v>11321.891099999999</v>
      </c>
      <c r="L343">
        <v>29.45</v>
      </c>
      <c r="M343" s="2">
        <f t="shared" si="56"/>
        <v>26274.995499999997</v>
      </c>
      <c r="N343">
        <v>1.87</v>
      </c>
      <c r="O343" s="2">
        <f t="shared" si="57"/>
        <v>1668.3952999999999</v>
      </c>
      <c r="P343">
        <v>0.77</v>
      </c>
      <c r="Q343" s="2">
        <f t="shared" si="58"/>
        <v>686.98630000000003</v>
      </c>
      <c r="R343">
        <v>0.69</v>
      </c>
      <c r="S343" s="3">
        <f t="shared" si="59"/>
        <v>615.61109999999996</v>
      </c>
      <c r="T343" t="s">
        <v>234</v>
      </c>
      <c r="U343" s="4">
        <f t="shared" si="60"/>
        <v>89227.921899999987</v>
      </c>
      <c r="V343" s="4">
        <f t="shared" si="61"/>
        <v>8.9218999999866355</v>
      </c>
      <c r="W343">
        <v>89219</v>
      </c>
      <c r="X343">
        <v>47321</v>
      </c>
      <c r="Y343">
        <v>41898</v>
      </c>
      <c r="Z343">
        <v>2311</v>
      </c>
      <c r="AA343">
        <v>13431</v>
      </c>
      <c r="AB343">
        <v>14914</v>
      </c>
      <c r="AC343">
        <v>15856</v>
      </c>
      <c r="AD343">
        <v>15177</v>
      </c>
      <c r="AE343">
        <v>13051</v>
      </c>
      <c r="AF343">
        <v>8692</v>
      </c>
      <c r="AG343">
        <v>4593</v>
      </c>
      <c r="AH343">
        <v>1194</v>
      </c>
      <c r="AI343" s="5">
        <v>53.039150853517697</v>
      </c>
      <c r="AJ343" s="5">
        <v>46.960849146482303</v>
      </c>
      <c r="AK343" s="5">
        <v>2.5902554388639198</v>
      </c>
      <c r="AL343" s="5">
        <v>15.0539683251325</v>
      </c>
      <c r="AM343" s="5">
        <v>16.716170322464901</v>
      </c>
      <c r="AN343" s="5">
        <v>17.771999237830499</v>
      </c>
      <c r="AO343" s="5">
        <v>17.0109505822751</v>
      </c>
      <c r="AP343" s="5">
        <v>14.628050079018999</v>
      </c>
      <c r="AQ343" s="5">
        <v>9.7423194611013404</v>
      </c>
      <c r="AR343" s="5">
        <v>5.1480065905244397</v>
      </c>
      <c r="AS343" s="5">
        <v>1.3382799627882001</v>
      </c>
    </row>
    <row r="344" spans="1:45" x14ac:dyDescent="0.25">
      <c r="A344" t="s">
        <v>761</v>
      </c>
      <c r="B344" t="s">
        <v>762</v>
      </c>
      <c r="C344" t="s">
        <v>233</v>
      </c>
      <c r="D344">
        <v>36.549999999999997</v>
      </c>
      <c r="E344" s="2">
        <f t="shared" si="52"/>
        <v>79246.613499999992</v>
      </c>
      <c r="F344">
        <v>17.2</v>
      </c>
      <c r="G344" s="2">
        <f t="shared" si="53"/>
        <v>37292.523999999998</v>
      </c>
      <c r="H344">
        <v>3.53</v>
      </c>
      <c r="I344" s="2">
        <f t="shared" si="54"/>
        <v>7653.6401000000005</v>
      </c>
      <c r="J344">
        <v>11.65</v>
      </c>
      <c r="K344" s="2">
        <f t="shared" si="55"/>
        <v>25259.180500000002</v>
      </c>
      <c r="L344">
        <v>27.35</v>
      </c>
      <c r="M344" s="2">
        <f t="shared" si="56"/>
        <v>59299.449500000002</v>
      </c>
      <c r="N344">
        <v>2.0699999999999998</v>
      </c>
      <c r="O344" s="2">
        <f t="shared" si="57"/>
        <v>4488.1118999999999</v>
      </c>
      <c r="P344">
        <v>0.77</v>
      </c>
      <c r="Q344" s="2">
        <f t="shared" si="58"/>
        <v>1669.4909</v>
      </c>
      <c r="R344">
        <v>0.89</v>
      </c>
      <c r="S344" s="3">
        <f t="shared" si="59"/>
        <v>1929.6713</v>
      </c>
      <c r="T344" t="s">
        <v>234</v>
      </c>
      <c r="U344" s="4">
        <f t="shared" si="60"/>
        <v>216838.68170000002</v>
      </c>
      <c r="V344" s="4">
        <f t="shared" si="61"/>
        <v>21.681700000015553</v>
      </c>
      <c r="W344">
        <v>216817</v>
      </c>
      <c r="X344">
        <v>117161</v>
      </c>
      <c r="Y344">
        <v>99656</v>
      </c>
      <c r="Z344">
        <v>4130</v>
      </c>
      <c r="AA344">
        <v>27471</v>
      </c>
      <c r="AB344">
        <v>51188</v>
      </c>
      <c r="AC344">
        <v>42951</v>
      </c>
      <c r="AD344">
        <v>30619</v>
      </c>
      <c r="AE344">
        <v>28499</v>
      </c>
      <c r="AF344">
        <v>18885</v>
      </c>
      <c r="AG344">
        <v>10006</v>
      </c>
      <c r="AH344">
        <v>3068</v>
      </c>
      <c r="AI344" s="5">
        <v>54.036814456431003</v>
      </c>
      <c r="AJ344" s="5">
        <v>45.963185543568997</v>
      </c>
      <c r="AK344" s="5">
        <v>1.9048321856681001</v>
      </c>
      <c r="AL344" s="5">
        <v>12.6701319545977</v>
      </c>
      <c r="AM344" s="5">
        <v>23.608849859559001</v>
      </c>
      <c r="AN344" s="5">
        <v>19.809793512501301</v>
      </c>
      <c r="AO344" s="5">
        <v>14.122047625416799</v>
      </c>
      <c r="AP344" s="5">
        <v>13.1442645180037</v>
      </c>
      <c r="AQ344" s="5">
        <v>8.7101103695743394</v>
      </c>
      <c r="AR344" s="5">
        <v>4.6149517796113804</v>
      </c>
      <c r="AS344" s="5">
        <v>1.4150181950677301</v>
      </c>
    </row>
    <row r="345" spans="1:45" x14ac:dyDescent="0.25">
      <c r="A345" t="s">
        <v>763</v>
      </c>
      <c r="B345" t="s">
        <v>764</v>
      </c>
      <c r="C345" t="s">
        <v>233</v>
      </c>
      <c r="D345">
        <v>13.07</v>
      </c>
      <c r="E345" s="2">
        <f t="shared" si="52"/>
        <v>37047.568500000001</v>
      </c>
      <c r="F345">
        <v>31.63</v>
      </c>
      <c r="G345" s="2">
        <f t="shared" si="53"/>
        <v>89656.816500000001</v>
      </c>
      <c r="H345">
        <v>2.23</v>
      </c>
      <c r="I345" s="2">
        <f t="shared" si="54"/>
        <v>6321.0465000000004</v>
      </c>
      <c r="J345">
        <v>14.26</v>
      </c>
      <c r="K345" s="2">
        <f t="shared" si="55"/>
        <v>40420.682999999997</v>
      </c>
      <c r="L345">
        <v>36.54</v>
      </c>
      <c r="M345" s="2">
        <f t="shared" si="56"/>
        <v>103574.45699999999</v>
      </c>
      <c r="N345">
        <v>1.42</v>
      </c>
      <c r="O345" s="2">
        <f t="shared" si="57"/>
        <v>4025.0609999999997</v>
      </c>
      <c r="P345">
        <v>0.41</v>
      </c>
      <c r="Q345" s="2">
        <f t="shared" si="58"/>
        <v>1162.1654999999998</v>
      </c>
      <c r="R345">
        <v>0.43</v>
      </c>
      <c r="S345" s="3">
        <f t="shared" si="59"/>
        <v>1218.8564999999999</v>
      </c>
      <c r="T345" t="s">
        <v>234</v>
      </c>
      <c r="U345" s="4">
        <f t="shared" si="60"/>
        <v>283426.6545</v>
      </c>
      <c r="V345" s="4">
        <f t="shared" si="61"/>
        <v>-28.345499999995809</v>
      </c>
      <c r="W345">
        <v>283455</v>
      </c>
      <c r="X345">
        <v>152306</v>
      </c>
      <c r="Y345">
        <v>131149</v>
      </c>
      <c r="Z345">
        <v>6729</v>
      </c>
      <c r="AA345">
        <v>42026</v>
      </c>
      <c r="AB345">
        <v>53091</v>
      </c>
      <c r="AC345">
        <v>51539</v>
      </c>
      <c r="AD345">
        <v>45445</v>
      </c>
      <c r="AE345">
        <v>38630</v>
      </c>
      <c r="AF345">
        <v>26000</v>
      </c>
      <c r="AG345">
        <v>15610</v>
      </c>
      <c r="AH345">
        <v>4385</v>
      </c>
      <c r="AI345" s="5">
        <v>53.731985676738802</v>
      </c>
      <c r="AJ345" s="5">
        <v>46.268014323261198</v>
      </c>
      <c r="AK345" s="5">
        <v>2.3739217865269602</v>
      </c>
      <c r="AL345" s="5">
        <v>14.8263392778395</v>
      </c>
      <c r="AM345" s="5">
        <v>18.729957136053301</v>
      </c>
      <c r="AN345" s="5">
        <v>18.182427545818602</v>
      </c>
      <c r="AO345" s="5">
        <v>16.032527208904401</v>
      </c>
      <c r="AP345" s="5">
        <v>13.628265509516501</v>
      </c>
      <c r="AQ345" s="5">
        <v>9.1725317951703094</v>
      </c>
      <c r="AR345" s="5">
        <v>5.5070469739464798</v>
      </c>
      <c r="AS345" s="5">
        <v>1.5469827662239199</v>
      </c>
    </row>
    <row r="346" spans="1:45" x14ac:dyDescent="0.25">
      <c r="A346" t="s">
        <v>765</v>
      </c>
      <c r="B346" t="s">
        <v>766</v>
      </c>
      <c r="C346" t="s">
        <v>233</v>
      </c>
      <c r="D346">
        <v>28.11</v>
      </c>
      <c r="E346" s="2">
        <f t="shared" si="52"/>
        <v>47799.368399999999</v>
      </c>
      <c r="F346">
        <v>18.61</v>
      </c>
      <c r="G346" s="2">
        <f t="shared" si="53"/>
        <v>31645.188399999999</v>
      </c>
      <c r="H346">
        <v>1.9</v>
      </c>
      <c r="I346" s="2">
        <f t="shared" si="54"/>
        <v>3230.8359999999998</v>
      </c>
      <c r="J346">
        <v>12.06</v>
      </c>
      <c r="K346" s="2">
        <f t="shared" si="55"/>
        <v>20507.306400000001</v>
      </c>
      <c r="L346">
        <v>36.299999999999997</v>
      </c>
      <c r="M346" s="2">
        <f t="shared" si="56"/>
        <v>61725.971999999994</v>
      </c>
      <c r="N346">
        <v>1.67</v>
      </c>
      <c r="O346" s="2">
        <f t="shared" si="57"/>
        <v>2839.7347999999997</v>
      </c>
      <c r="P346">
        <v>0.62</v>
      </c>
      <c r="Q346" s="2">
        <f t="shared" si="58"/>
        <v>1054.2728</v>
      </c>
      <c r="R346">
        <v>0.73</v>
      </c>
      <c r="S346" s="3">
        <f t="shared" si="59"/>
        <v>1241.3211999999999</v>
      </c>
      <c r="T346" t="s">
        <v>234</v>
      </c>
      <c r="U346" s="4">
        <f t="shared" si="60"/>
        <v>170044</v>
      </c>
      <c r="V346" s="4">
        <f t="shared" si="61"/>
        <v>0</v>
      </c>
      <c r="W346">
        <v>170044</v>
      </c>
      <c r="X346">
        <v>89180</v>
      </c>
      <c r="Y346">
        <v>80864</v>
      </c>
      <c r="Z346">
        <v>2419</v>
      </c>
      <c r="AA346">
        <v>18725</v>
      </c>
      <c r="AB346">
        <v>34660</v>
      </c>
      <c r="AC346">
        <v>35623</v>
      </c>
      <c r="AD346">
        <v>28393</v>
      </c>
      <c r="AE346">
        <v>21921</v>
      </c>
      <c r="AF346">
        <v>16514</v>
      </c>
      <c r="AG346">
        <v>9159</v>
      </c>
      <c r="AH346">
        <v>2630</v>
      </c>
      <c r="AI346" s="5">
        <v>52.445249464844402</v>
      </c>
      <c r="AJ346" s="5">
        <v>47.554750535155598</v>
      </c>
      <c r="AK346" s="5">
        <v>1.4225729811107699</v>
      </c>
      <c r="AL346" s="5">
        <v>11.0118557549811</v>
      </c>
      <c r="AM346" s="5">
        <v>20.382959704547101</v>
      </c>
      <c r="AN346" s="5">
        <v>20.949283714803201</v>
      </c>
      <c r="AO346" s="5">
        <v>16.697443014749101</v>
      </c>
      <c r="AP346" s="5">
        <v>12.8913692926537</v>
      </c>
      <c r="AQ346" s="5">
        <v>9.7116040554209508</v>
      </c>
      <c r="AR346" s="5">
        <v>5.38625296981958</v>
      </c>
      <c r="AS346" s="5">
        <v>1.5466585119145599</v>
      </c>
    </row>
    <row r="347" spans="1:45" x14ac:dyDescent="0.25">
      <c r="A347" t="s">
        <v>767</v>
      </c>
      <c r="B347" t="s">
        <v>768</v>
      </c>
      <c r="C347" t="s">
        <v>233</v>
      </c>
      <c r="D347">
        <v>7.2</v>
      </c>
      <c r="E347" s="2">
        <f t="shared" si="52"/>
        <v>6292.44</v>
      </c>
      <c r="F347">
        <v>35.11</v>
      </c>
      <c r="G347" s="2">
        <f t="shared" si="53"/>
        <v>30684.384499999996</v>
      </c>
      <c r="H347">
        <v>0.82</v>
      </c>
      <c r="I347" s="2">
        <f t="shared" si="54"/>
        <v>716.6389999999999</v>
      </c>
      <c r="J347">
        <v>12.88</v>
      </c>
      <c r="K347" s="2">
        <f t="shared" si="55"/>
        <v>11256.476000000001</v>
      </c>
      <c r="L347">
        <v>42.5</v>
      </c>
      <c r="M347" s="2">
        <f t="shared" si="56"/>
        <v>37142.875</v>
      </c>
      <c r="N347">
        <v>0.95</v>
      </c>
      <c r="O347" s="2">
        <f t="shared" si="57"/>
        <v>830.25250000000005</v>
      </c>
      <c r="P347">
        <v>0.3</v>
      </c>
      <c r="Q347" s="2">
        <f t="shared" si="58"/>
        <v>262.185</v>
      </c>
      <c r="R347">
        <v>0.24</v>
      </c>
      <c r="S347" s="3">
        <f t="shared" si="59"/>
        <v>209.74799999999999</v>
      </c>
      <c r="T347" t="s">
        <v>234</v>
      </c>
      <c r="U347" s="4">
        <f t="shared" si="60"/>
        <v>87395</v>
      </c>
      <c r="V347" s="4">
        <f t="shared" si="61"/>
        <v>0</v>
      </c>
      <c r="W347">
        <v>87395</v>
      </c>
      <c r="X347">
        <v>47856</v>
      </c>
      <c r="Y347">
        <v>39539</v>
      </c>
      <c r="Z347">
        <v>2227</v>
      </c>
      <c r="AA347">
        <v>12943</v>
      </c>
      <c r="AB347">
        <v>13694</v>
      </c>
      <c r="AC347">
        <v>15142</v>
      </c>
      <c r="AD347">
        <v>15191</v>
      </c>
      <c r="AE347">
        <v>11926</v>
      </c>
      <c r="AF347">
        <v>8756</v>
      </c>
      <c r="AG347">
        <v>6020</v>
      </c>
      <c r="AH347">
        <v>1496</v>
      </c>
      <c r="AI347" s="5">
        <v>54.758281366210902</v>
      </c>
      <c r="AJ347" s="5">
        <v>45.241718633789098</v>
      </c>
      <c r="AK347" s="5">
        <v>2.5482006979804299</v>
      </c>
      <c r="AL347" s="5">
        <v>14.8097717260713</v>
      </c>
      <c r="AM347" s="5">
        <v>15.6690886206305</v>
      </c>
      <c r="AN347" s="5">
        <v>17.325933977916399</v>
      </c>
      <c r="AO347" s="5">
        <v>17.382001258653201</v>
      </c>
      <c r="AP347" s="5">
        <v>13.646089593226201</v>
      </c>
      <c r="AQ347" s="5">
        <v>10.018879798615499</v>
      </c>
      <c r="AR347" s="5">
        <v>6.8882659191029196</v>
      </c>
      <c r="AS347" s="5">
        <v>1.7117684078036499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Araneda Riveros</dc:creator>
  <cp:lastModifiedBy>Sebastian Araneda Riveros</cp:lastModifiedBy>
  <dcterms:created xsi:type="dcterms:W3CDTF">2025-11-20T14:04:49Z</dcterms:created>
  <dcterms:modified xsi:type="dcterms:W3CDTF">2025-11-20T18:46:45Z</dcterms:modified>
</cp:coreProperties>
</file>